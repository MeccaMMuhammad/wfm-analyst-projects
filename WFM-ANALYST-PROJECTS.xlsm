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charlenegaskins/Documents/FIN 615 9040/"/>
    </mc:Choice>
  </mc:AlternateContent>
  <xr:revisionPtr revIDLastSave="0" documentId="13_ncr:1_{D3F9361A-08D8-F942-A7E6-41A9936C4F71}" xr6:coauthVersionLast="47" xr6:coauthVersionMax="47" xr10:uidLastSave="{00000000-0000-0000-0000-000000000000}"/>
  <bookViews>
    <workbookView xWindow="0" yWindow="0" windowWidth="44800" windowHeight="25200" firstSheet="2" activeTab="3" xr2:uid="{00000000-000D-0000-FFFF-FFFF00000000}"/>
  </bookViews>
  <sheets>
    <sheet name="Call Center Dashboard" sheetId="1" r:id="rId1"/>
    <sheet name="Adherence By Agent" sheetId="5" r:id="rId2"/>
    <sheet name="Outage Tracker" sheetId="2" r:id="rId3"/>
    <sheet name="Time Outage By Agent" sheetId="6" r:id="rId4"/>
    <sheet name="Forecasting" sheetId="3" r:id="rId5"/>
    <sheet name="Room Assignment" sheetId="4" r:id="rId6"/>
  </sheets>
  <definedNames>
    <definedName name="_xleta.TIME" hidden="1" xlm="1">#NAME?</definedName>
    <definedName name="Slicer_Date">#N/A</definedName>
    <definedName name="Slicer_Outage_Type">#N/A</definedName>
  </definedNames>
  <calcPr calcId="191029"/>
  <pivotCaches>
    <pivotCache cacheId="3" r:id="rId7"/>
    <pivotCache cacheId="13" r:id="rId8"/>
    <pivotCache cacheId="2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2" l="1"/>
  <c r="F4" i="2"/>
  <c r="F5" i="2"/>
  <c r="F6" i="2"/>
  <c r="F7" i="2"/>
  <c r="F8" i="2"/>
  <c r="F9" i="2"/>
  <c r="F10" i="2"/>
  <c r="F11" i="2"/>
  <c r="F2" i="2"/>
  <c r="C32" i="3"/>
  <c r="C33" i="3"/>
  <c r="C34" i="3"/>
  <c r="C35" i="3"/>
  <c r="C36" i="3"/>
  <c r="C37" i="3"/>
</calcChain>
</file>

<file path=xl/sharedStrings.xml><?xml version="1.0" encoding="utf-8"?>
<sst xmlns="http://schemas.openxmlformats.org/spreadsheetml/2006/main" count="514" uniqueCount="69">
  <si>
    <t>Date</t>
  </si>
  <si>
    <t>Collector Name</t>
  </si>
  <si>
    <t>Scheduled Start</t>
  </si>
  <si>
    <t>Actual Start</t>
  </si>
  <si>
    <t>Scheduled End</t>
  </si>
  <si>
    <t>Actual End</t>
  </si>
  <si>
    <t>Break Taken (Y/N)</t>
  </si>
  <si>
    <t>Lunch Taken (Y/N)</t>
  </si>
  <si>
    <t>Adherence %</t>
  </si>
  <si>
    <t>Exceptions</t>
  </si>
  <si>
    <t>Agent A</t>
  </si>
  <si>
    <t>Agent B</t>
  </si>
  <si>
    <t>Agent C</t>
  </si>
  <si>
    <t>Agent D</t>
  </si>
  <si>
    <t>Agent E</t>
  </si>
  <si>
    <t>09:00 AM</t>
  </si>
  <si>
    <t>09:05 AM</t>
  </si>
  <si>
    <t>08:55 AM</t>
  </si>
  <si>
    <t>09:10 AM</t>
  </si>
  <si>
    <t>05:00 PM</t>
  </si>
  <si>
    <t>04:55 PM</t>
  </si>
  <si>
    <t>05:05 PM</t>
  </si>
  <si>
    <t>Y</t>
  </si>
  <si>
    <t>N</t>
  </si>
  <si>
    <t>Late Start</t>
  </si>
  <si>
    <t>Missed Break</t>
  </si>
  <si>
    <t>Early Out</t>
  </si>
  <si>
    <t>Outage Type</t>
  </si>
  <si>
    <t>Start Time</t>
  </si>
  <si>
    <t>End Time</t>
  </si>
  <si>
    <t>Duration (mins)</t>
  </si>
  <si>
    <t>Resolution Notes</t>
  </si>
  <si>
    <t>Internet</t>
  </si>
  <si>
    <t>Power</t>
  </si>
  <si>
    <t>System</t>
  </si>
  <si>
    <t>Hardware</t>
  </si>
  <si>
    <t>10:00 AM</t>
  </si>
  <si>
    <t>10:30 AM</t>
  </si>
  <si>
    <t>Reset Router</t>
  </si>
  <si>
    <t>Waited</t>
  </si>
  <si>
    <t>Restart PC</t>
  </si>
  <si>
    <t>Tech Support</t>
  </si>
  <si>
    <t>Reboot</t>
  </si>
  <si>
    <t>Day</t>
  </si>
  <si>
    <t>Calls Received</t>
  </si>
  <si>
    <t>Collector ID</t>
  </si>
  <si>
    <t>Current Room</t>
  </si>
  <si>
    <t>New Room</t>
  </si>
  <si>
    <t>Reason for Move</t>
  </si>
  <si>
    <t>Room 1</t>
  </si>
  <si>
    <t>Room 2</t>
  </si>
  <si>
    <t>Room 3</t>
  </si>
  <si>
    <t>Coverage</t>
  </si>
  <si>
    <t>Training</t>
  </si>
  <si>
    <t>Support</t>
  </si>
  <si>
    <t>Behavioral</t>
  </si>
  <si>
    <t>Schedule Change</t>
  </si>
  <si>
    <t>Row Labels</t>
  </si>
  <si>
    <t>(blank)</t>
  </si>
  <si>
    <t>Grand Total</t>
  </si>
  <si>
    <t>Average of Adherence %</t>
  </si>
  <si>
    <t>Count of Exceptions</t>
  </si>
  <si>
    <t>Sum of Duration (mins)</t>
  </si>
  <si>
    <t>Forecasted Calls</t>
  </si>
  <si>
    <t>Room 4</t>
  </si>
  <si>
    <t>Room List (Source)</t>
  </si>
  <si>
    <t>Reason List (Source)</t>
  </si>
  <si>
    <t>Timestamp</t>
  </si>
  <si>
    <t>Count of Collector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</si>
</sst>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3" x14ac:knownFonts="1">
    <font>
      <sz val="11"/>
      <color theme="1"/>
      <name val="Calibri"/>
      <family val="2"/>
      <scheme val="minor"/>
    </font>
    <font>
      <b/>
      <sz val="11"/>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0">
    <xf numFmtId="0" fontId="0" fillId="0" borderId="0" xfId="0"/>
    <xf numFmtId="0" fontId="1" fillId="0" borderId="1" xfId="0" applyFont="1" applyBorder="1" applyAlignment="1">
      <alignment horizontal="center" vertical="top"/>
    </xf>
    <xf numFmtId="164" fontId="0" fillId="0" borderId="0" xfId="0" applyNumberFormat="1"/>
    <xf numFmtId="0" fontId="1" fillId="0" borderId="1" xfId="0" applyFont="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center" vertical="center"/>
    </xf>
    <xf numFmtId="18" fontId="0" fillId="0" borderId="0" xfId="0" applyNumberFormat="1" applyAlignment="1">
      <alignment horizontal="center" vertical="center"/>
    </xf>
    <xf numFmtId="2" fontId="1" fillId="0" borderId="1" xfId="0" applyNumberFormat="1" applyFont="1" applyBorder="1" applyAlignment="1">
      <alignment horizontal="center" vertical="top"/>
    </xf>
    <xf numFmtId="2" fontId="0" fillId="0" borderId="0" xfId="0" applyNumberFormat="1"/>
    <xf numFmtId="1" fontId="1" fillId="0" borderId="1" xfId="0" applyNumberFormat="1" applyFont="1" applyBorder="1" applyAlignment="1">
      <alignment horizontal="center" vertical="center"/>
    </xf>
    <xf numFmtId="1" fontId="0" fillId="0" borderId="0" xfId="0" applyNumberFormat="1" applyAlignment="1">
      <alignment horizontal="center" vertical="center"/>
    </xf>
    <xf numFmtId="1" fontId="0" fillId="0" borderId="0" xfId="0" applyNumberFormat="1"/>
    <xf numFmtId="0" fontId="0" fillId="0" borderId="0" xfId="0" applyAlignment="1">
      <alignment horizontal="left" indent="1"/>
    </xf>
    <xf numFmtId="18" fontId="0" fillId="0" borderId="0" xfId="0" applyNumberFormat="1" applyAlignment="1">
      <alignment horizontal="center"/>
    </xf>
    <xf numFmtId="22" fontId="0" fillId="0" borderId="0" xfId="0" applyNumberFormat="1" applyAlignment="1">
      <alignment horizontal="center"/>
    </xf>
    <xf numFmtId="22" fontId="0" fillId="0" borderId="0" xfId="0" applyNumberFormat="1"/>
  </cellXfs>
  <cellStyles count="1">
    <cellStyle name="Normal" xfId="0" builtinId="0"/>
  </cellStyles>
  <dxfs count="3">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[WFM-ANALYST-PROJECTS.xlsm]Adherence By Agent!PivotTable1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'Adherence By Agent'!$B$1</c:f>
              <c:strCache>
                <c:ptCount val="1"/>
                <c:pt idx="0">
                  <c:v>Average of Adherence %</c:v>
                </c:pt>
              </c:strCache>
            </c:strRef>
          </c:tx>
          <c:spPr>
            <a:solidFill>
              <a:schemeClr val="accent1"/>
            </a:solidFill>
            <a:ln>
              <a:noFill/>
            </a:ln>
            <a:effectLst/>
          </c:spPr>
          <c:invertIfNegative val="0"/>
          <c:cat>
            <c:strRef>
              <c:f>'Adherence By Agent'!$A$2:$A$7</c:f>
              <c:strCache>
                <c:ptCount val="5"/>
                <c:pt idx="0">
                  <c:v>Agent A</c:v>
                </c:pt>
                <c:pt idx="1">
                  <c:v>Agent B</c:v>
                </c:pt>
                <c:pt idx="2">
                  <c:v>Agent C</c:v>
                </c:pt>
                <c:pt idx="3">
                  <c:v>Agent D</c:v>
                </c:pt>
                <c:pt idx="4">
                  <c:v>Agent E</c:v>
                </c:pt>
              </c:strCache>
            </c:strRef>
          </c:cat>
          <c:val>
            <c:numRef>
              <c:f>'Adherence By Agent'!$B$2:$B$7</c:f>
              <c:numCache>
                <c:formatCode>General</c:formatCode>
                <c:ptCount val="5"/>
                <c:pt idx="0">
                  <c:v>98</c:v>
                </c:pt>
                <c:pt idx="1">
                  <c:v>92</c:v>
                </c:pt>
                <c:pt idx="2">
                  <c:v>100</c:v>
                </c:pt>
                <c:pt idx="3">
                  <c:v>85</c:v>
                </c:pt>
                <c:pt idx="4">
                  <c:v>90</c:v>
                </c:pt>
              </c:numCache>
            </c:numRef>
          </c:val>
          <c:extLst>
            <c:ext xmlns:c16="http://schemas.microsoft.com/office/drawing/2014/chart" uri="{C3380CC4-5D6E-409C-BE32-E72D297353CC}">
              <c16:uniqueId val="{00000000-2E62-0A41-BCB6-6D13661C3C04}"/>
            </c:ext>
          </c:extLst>
        </c:ser>
        <c:ser>
          <c:idx val="1"/>
          <c:order val="1"/>
          <c:tx>
            <c:strRef>
              <c:f>'Adherence By Agent'!$C$1</c:f>
              <c:strCache>
                <c:ptCount val="1"/>
                <c:pt idx="0">
                  <c:v>Count of Exceptions</c:v>
                </c:pt>
              </c:strCache>
            </c:strRef>
          </c:tx>
          <c:spPr>
            <a:solidFill>
              <a:schemeClr val="accent2"/>
            </a:solidFill>
            <a:ln>
              <a:noFill/>
            </a:ln>
            <a:effectLst/>
          </c:spPr>
          <c:invertIfNegative val="0"/>
          <c:cat>
            <c:strRef>
              <c:f>'Adherence By Agent'!$A$2:$A$7</c:f>
              <c:strCache>
                <c:ptCount val="5"/>
                <c:pt idx="0">
                  <c:v>Agent A</c:v>
                </c:pt>
                <c:pt idx="1">
                  <c:v>Agent B</c:v>
                </c:pt>
                <c:pt idx="2">
                  <c:v>Agent C</c:v>
                </c:pt>
                <c:pt idx="3">
                  <c:v>Agent D</c:v>
                </c:pt>
                <c:pt idx="4">
                  <c:v>Agent E</c:v>
                </c:pt>
              </c:strCache>
            </c:strRef>
          </c:cat>
          <c:val>
            <c:numRef>
              <c:f>'Adherence By Agent'!$C$2:$C$7</c:f>
              <c:numCache>
                <c:formatCode>General</c:formatCode>
                <c:ptCount val="5"/>
                <c:pt idx="1">
                  <c:v>10</c:v>
                </c:pt>
                <c:pt idx="3">
                  <c:v>10</c:v>
                </c:pt>
                <c:pt idx="4">
                  <c:v>10</c:v>
                </c:pt>
              </c:numCache>
            </c:numRef>
          </c:val>
          <c:extLst>
            <c:ext xmlns:c16="http://schemas.microsoft.com/office/drawing/2014/chart" uri="{C3380CC4-5D6E-409C-BE32-E72D297353CC}">
              <c16:uniqueId val="{00000002-2E62-0A41-BCB6-6D13661C3C04}"/>
            </c:ext>
          </c:extLst>
        </c:ser>
        <c:dLbls>
          <c:showLegendKey val="0"/>
          <c:showVal val="0"/>
          <c:showCatName val="0"/>
          <c:showSerName val="0"/>
          <c:showPercent val="0"/>
          <c:showBubbleSize val="0"/>
        </c:dLbls>
        <c:gapWidth val="219"/>
        <c:overlap val="-27"/>
        <c:axId val="1929153552"/>
        <c:axId val="1929165440"/>
      </c:barChart>
      <c:catAx>
        <c:axId val="192915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165440"/>
        <c:crosses val="autoZero"/>
        <c:auto val="1"/>
        <c:lblAlgn val="ctr"/>
        <c:lblOffset val="100"/>
        <c:noMultiLvlLbl val="0"/>
      </c:catAx>
      <c:valAx>
        <c:axId val="1929165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153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[WFM-ANALYST-PROJECTS.xlsm]Time Outage By Agent!PivotTable3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Outage Time by Agent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'Time Outage By Agent'!$B$1</c:f>
              <c:strCache>
                <c:ptCount val="1"/>
                <c:pt idx="0">
                  <c:v>Total</c:v>
                </c:pt>
              </c:strCache>
            </c:strRef>
          </c:tx>
          <c:spPr>
            <a:solidFill>
              <a:schemeClr val="accent1"/>
            </a:solidFill>
            <a:ln>
              <a:noFill/>
            </a:ln>
            <a:effectLst/>
          </c:spPr>
          <c:invertIfNegative val="0"/>
          <c:cat>
            <c:multiLvlStrRef>
              <c:f>'Time Outage By Agent'!$A$2:$A$13</c:f>
              <c:multiLvlStrCache>
                <c:ptCount val="6"/>
                <c:lvl>
                  <c:pt idx="0">
                    <c:v>Agent E</c:v>
                  </c:pt>
                  <c:pt idx="1">
                    <c:v>Agent A</c:v>
                  </c:pt>
                  <c:pt idx="2">
                    <c:v>Agent D</c:v>
                  </c:pt>
                  <c:pt idx="3">
                    <c:v>Agent B</c:v>
                  </c:pt>
                  <c:pt idx="4">
                    <c:v>Agent C</c:v>
                  </c:pt>
                  <c:pt idx="5">
                    <c:v>(blank)</c:v>
                  </c:pt>
                </c:lvl>
                <c:lvl>
                  <c:pt idx="0">
                    <c:v>Hardware</c:v>
                  </c:pt>
                  <c:pt idx="1">
                    <c:v>Internet</c:v>
                  </c:pt>
                  <c:pt idx="3">
                    <c:v>Power</c:v>
                  </c:pt>
                  <c:pt idx="4">
                    <c:v>System</c:v>
                  </c:pt>
                  <c:pt idx="5">
                    <c:v>(blank)</c:v>
                  </c:pt>
                </c:lvl>
              </c:multiLvlStrCache>
            </c:multiLvlStrRef>
          </c:cat>
          <c:val>
            <c:numRef>
              <c:f>'Time Outage By Agent'!$B$2:$B$13</c:f>
              <c:numCache>
                <c:formatCode>General</c:formatCode>
                <c:ptCount val="6"/>
                <c:pt idx="0">
                  <c:v>129.99999999999994</c:v>
                </c:pt>
                <c:pt idx="1">
                  <c:v>109.99999999999993</c:v>
                </c:pt>
                <c:pt idx="2">
                  <c:v>24.999999999999989</c:v>
                </c:pt>
                <c:pt idx="3">
                  <c:v>24.999999999999911</c:v>
                </c:pt>
                <c:pt idx="4">
                  <c:v>70</c:v>
                </c:pt>
              </c:numCache>
            </c:numRef>
          </c:val>
          <c:extLst>
            <c:ext xmlns:c16="http://schemas.microsoft.com/office/drawing/2014/chart" uri="{C3380CC4-5D6E-409C-BE32-E72D297353CC}">
              <c16:uniqueId val="{00000000-3FE2-8945-8E43-7C8EE9FF8A38}"/>
            </c:ext>
          </c:extLst>
        </c:ser>
        <c:dLbls>
          <c:showLegendKey val="0"/>
          <c:showVal val="0"/>
          <c:showCatName val="0"/>
          <c:showSerName val="0"/>
          <c:showPercent val="0"/>
          <c:showBubbleSize val="0"/>
        </c:dLbls>
        <c:gapWidth val="219"/>
        <c:overlap val="-27"/>
        <c:axId val="1809691376"/>
        <c:axId val="1809811312"/>
      </c:barChart>
      <c:catAx>
        <c:axId val="180969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811312"/>
        <c:crosses val="autoZero"/>
        <c:auto val="1"/>
        <c:lblAlgn val="ctr"/>
        <c:lblOffset val="100"/>
        <c:noMultiLvlLbl val="0"/>
      </c:catAx>
      <c:valAx>
        <c:axId val="1809811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9691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vs.</a:t>
            </a:r>
            <a:r>
              <a:rPr lang="en-US" baseline="0"/>
              <a:t> Actual Call Volume</a:t>
            </a:r>
            <a:endParaRPr lang="en-US"/>
          </a:p>
        </c:rich>
      </c:tx>
      <c:layout>
        <c:manualLayout>
          <c:xMode val="edge"/>
          <c:yMode val="edge"/>
          <c:x val="0.21227077865266838"/>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Forecasting!$A$1</c:f>
              <c:strCache>
                <c:ptCount val="1"/>
                <c:pt idx="0">
                  <c:v>Day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Forecasting!$A$2:$A$37</c:f>
              <c:numCache>
                <c:formatCode>General</c:formatCod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numCache>
            </c:numRef>
          </c:val>
          <c:smooth val="0"/>
          <c:extLst>
            <c:ext xmlns:c16="http://schemas.microsoft.com/office/drawing/2014/chart" uri="{C3380CC4-5D6E-409C-BE32-E72D297353CC}">
              <c16:uniqueId val="{00000000-1344-4F4F-99D4-E656508FC3D3}"/>
            </c:ext>
          </c:extLst>
        </c:ser>
        <c:ser>
          <c:idx val="1"/>
          <c:order val="1"/>
          <c:tx>
            <c:strRef>
              <c:f>Forecasting!$C$1</c:f>
              <c:strCache>
                <c:ptCount val="1"/>
                <c:pt idx="0">
                  <c:v>Forecasted Calls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Forecasting!$C$2:$C$37</c:f>
              <c:numCache>
                <c:formatCode>0.00</c:formatCode>
                <c:ptCount val="36"/>
                <c:pt idx="30">
                  <c:v>182.90640394088669</c:v>
                </c:pt>
                <c:pt idx="31">
                  <c:v>184.30158730158732</c:v>
                </c:pt>
                <c:pt idx="32">
                  <c:v>186.38095238095238</c:v>
                </c:pt>
                <c:pt idx="33">
                  <c:v>189.58974358974359</c:v>
                </c:pt>
                <c:pt idx="34">
                  <c:v>194.53846153846155</c:v>
                </c:pt>
                <c:pt idx="35">
                  <c:v>194.63768115942031</c:v>
                </c:pt>
              </c:numCache>
            </c:numRef>
          </c:val>
          <c:smooth val="0"/>
          <c:extLst>
            <c:ext xmlns:c16="http://schemas.microsoft.com/office/drawing/2014/chart" uri="{C3380CC4-5D6E-409C-BE32-E72D297353CC}">
              <c16:uniqueId val="{00000001-1344-4F4F-99D4-E656508FC3D3}"/>
            </c:ext>
          </c:extLst>
        </c:ser>
        <c:dLbls>
          <c:dLblPos val="t"/>
          <c:showLegendKey val="0"/>
          <c:showVal val="1"/>
          <c:showCatName val="0"/>
          <c:showSerName val="0"/>
          <c:showPercent val="0"/>
          <c:showBubbleSize val="0"/>
        </c:dLbls>
        <c:marker val="1"/>
        <c:smooth val="0"/>
        <c:axId val="1949787744"/>
        <c:axId val="1949733584"/>
      </c:lineChart>
      <c:catAx>
        <c:axId val="194978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733584"/>
        <c:crosses val="autoZero"/>
        <c:auto val="1"/>
        <c:lblAlgn val="ctr"/>
        <c:lblOffset val="100"/>
        <c:noMultiLvlLbl val="0"/>
      </c:catAx>
      <c:valAx>
        <c:axId val="1949733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78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[WFM-ANALYST-PROJECTS.xlsm]Room Assignment!PivotTable4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Room Reassignments</a:t>
            </a:r>
            <a:r>
              <a:rPr lang="en-US" baseline="0"/>
              <a:t> by Reason</a:t>
            </a:r>
            <a:endParaRPr lang="en-US"/>
          </a:p>
        </c:rich>
      </c:tx>
      <c:layout>
        <c:manualLayout>
          <c:xMode val="edge"/>
          <c:yMode val="edge"/>
          <c:x val="0.21807407407407406"/>
          <c:y val="5.0925925925925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'Room Assignment'!$B$11</c:f>
              <c:strCache>
                <c:ptCount val="1"/>
                <c:pt idx="0">
                  <c:v>Total</c:v>
                </c:pt>
              </c:strCache>
            </c:strRef>
          </c:tx>
          <c:spPr>
            <a:solidFill>
              <a:schemeClr val="accent1"/>
            </a:solidFill>
            <a:ln>
              <a:noFill/>
            </a:ln>
            <a:effectLst/>
          </c:spPr>
          <c:invertIfNegative val="0"/>
          <c:cat>
            <c:multiLvlStrRef>
              <c:f>'Room Assignment'!$A$12:$A$22</c:f>
              <c:multiLvlStrCache>
                <c:ptCount val="5"/>
                <c:lvl>
                  <c:pt idx="0">
                    <c:v>Agent D</c:v>
                  </c:pt>
                  <c:pt idx="1">
                    <c:v>Agent A</c:v>
                  </c:pt>
                  <c:pt idx="2">
                    <c:v>Agent E</c:v>
                  </c:pt>
                  <c:pt idx="3">
                    <c:v>Agent C</c:v>
                  </c:pt>
                  <c:pt idx="4">
                    <c:v>Agent B</c:v>
                  </c:pt>
                </c:lvl>
                <c:lvl>
                  <c:pt idx="0">
                    <c:v>Behavioral</c:v>
                  </c:pt>
                  <c:pt idx="1">
                    <c:v>Coverage</c:v>
                  </c:pt>
                  <c:pt idx="2">
                    <c:v>Schedule Change</c:v>
                  </c:pt>
                  <c:pt idx="3">
                    <c:v>Support</c:v>
                  </c:pt>
                  <c:pt idx="4">
                    <c:v>Training</c:v>
                  </c:pt>
                </c:lvl>
              </c:multiLvlStrCache>
            </c:multiLvlStrRef>
          </c:cat>
          <c:val>
            <c:numRef>
              <c:f>'Room Assignment'!$B$12:$B$22</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0-71E3-B949-ABAD-44127D4A7213}"/>
            </c:ext>
          </c:extLst>
        </c:ser>
        <c:dLbls>
          <c:showLegendKey val="0"/>
          <c:showVal val="0"/>
          <c:showCatName val="0"/>
          <c:showSerName val="0"/>
          <c:showPercent val="0"/>
          <c:showBubbleSize val="0"/>
        </c:dLbls>
        <c:gapWidth val="219"/>
        <c:overlap val="-27"/>
        <c:axId val="1157523375"/>
        <c:axId val="1157527855"/>
      </c:barChart>
      <c:catAx>
        <c:axId val="115752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527855"/>
        <c:crosses val="autoZero"/>
        <c:auto val="1"/>
        <c:lblAlgn val="ctr"/>
        <c:lblOffset val="100"/>
        <c:noMultiLvlLbl val="0"/>
      </c:catAx>
      <c:valAx>
        <c:axId val="115752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52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571500</xdr:colOff>
      <xdr:row>0</xdr:row>
      <xdr:rowOff>25400</xdr:rowOff>
    </xdr:from>
    <xdr:to>
      <xdr:col>9</xdr:col>
      <xdr:colOff>190500</xdr:colOff>
      <xdr:row>14</xdr:row>
      <xdr:rowOff>101600</xdr:rowOff>
    </xdr:to>
    <xdr:graphicFrame macro="">
      <xdr:nvGraphicFramePr>
        <xdr:cNvPr id="2" name="Chart 1">
          <a:extLst>
            <a:ext uri="{FF2B5EF4-FFF2-40B4-BE49-F238E27FC236}">
              <a16:creationId xmlns:a16="http://schemas.microsoft.com/office/drawing/2014/main" id="{716968B2-A4CC-9536-4282-3CC258405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9</xdr:col>
      <xdr:colOff>444500</xdr:colOff>
      <xdr:row>15</xdr:row>
      <xdr:rowOff>76200</xdr:rowOff>
    </xdr:to>
    <xdr:graphicFrame macro="">
      <xdr:nvGraphicFramePr>
        <xdr:cNvPr id="2" name="Chart 1">
          <a:extLst>
            <a:ext uri="{FF2B5EF4-FFF2-40B4-BE49-F238E27FC236}">
              <a16:creationId xmlns:a16="http://schemas.microsoft.com/office/drawing/2014/main" id="{CF11876D-7A7C-9147-A16E-CC3506F687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330200</xdr:colOff>
      <xdr:row>1</xdr:row>
      <xdr:rowOff>12701</xdr:rowOff>
    </xdr:from>
    <xdr:to>
      <xdr:col>14</xdr:col>
      <xdr:colOff>508000</xdr:colOff>
      <xdr:row>8</xdr:row>
      <xdr:rowOff>12701</xdr:rowOff>
    </xdr:to>
    <mc:AlternateContent xmlns:mc="http://schemas.openxmlformats.org/markup-compatibility/2006">
      <mc:Choice xmlns:a14="http://schemas.microsoft.com/office/drawing/2010/main" Requires="a14">
        <xdr:graphicFrame macro="">
          <xdr:nvGraphicFramePr>
            <xdr:cNvPr id="3" name="Outage Type">
              <a:extLst>
                <a:ext uri="{FF2B5EF4-FFF2-40B4-BE49-F238E27FC236}">
                  <a16:creationId xmlns:a16="http://schemas.microsoft.com/office/drawing/2014/main" id="{1E8D9EC3-415F-83DA-9558-35C0C9032FF3}"/>
                </a:ext>
              </a:extLst>
            </xdr:cNvPr>
            <xdr:cNvGraphicFramePr/>
          </xdr:nvGraphicFramePr>
          <xdr:xfrm>
            <a:off x="0" y="0"/>
            <a:ext cx="0" cy="0"/>
          </xdr:xfrm>
          <a:graphic>
            <a:graphicData uri="http://schemas.microsoft.com/office/drawing/2010/slicer">
              <sle:slicer xmlns:sle="http://schemas.microsoft.com/office/drawing/2010/slicer" name="Outage Type"/>
            </a:graphicData>
          </a:graphic>
        </xdr:graphicFrame>
      </mc:Choice>
      <mc:Fallback>
        <xdr:sp macro="" textlink="">
          <xdr:nvSpPr>
            <xdr:cNvPr id="0" name=""/>
            <xdr:cNvSpPr>
              <a:spLocks noTextEdit="1"/>
            </xdr:cNvSpPr>
          </xdr:nvSpPr>
          <xdr:spPr>
            <a:xfrm>
              <a:off x="10934700" y="203201"/>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12700</xdr:colOff>
      <xdr:row>1</xdr:row>
      <xdr:rowOff>1</xdr:rowOff>
    </xdr:from>
    <xdr:to>
      <xdr:col>12</xdr:col>
      <xdr:colOff>190500</xdr:colOff>
      <xdr:row>11</xdr:row>
      <xdr:rowOff>165101</xdr:rowOff>
    </xdr:to>
    <mc:AlternateContent xmlns:mc="http://schemas.openxmlformats.org/markup-compatibility/2006">
      <mc:Choice xmlns:a14="http://schemas.microsoft.com/office/drawing/2010/main" Requires="a14">
        <xdr:graphicFrame macro="">
          <xdr:nvGraphicFramePr>
            <xdr:cNvPr id="4" name="Date">
              <a:extLst>
                <a:ext uri="{FF2B5EF4-FFF2-40B4-BE49-F238E27FC236}">
                  <a16:creationId xmlns:a16="http://schemas.microsoft.com/office/drawing/2014/main" id="{6617BBA3-4A3E-4CF7-ED87-2B981A7CC075}"/>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8966200" y="190501"/>
              <a:ext cx="1828800" cy="2070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330200</xdr:colOff>
      <xdr:row>10</xdr:row>
      <xdr:rowOff>114300</xdr:rowOff>
    </xdr:from>
    <xdr:to>
      <xdr:col>23</xdr:col>
      <xdr:colOff>355600</xdr:colOff>
      <xdr:row>50</xdr:row>
      <xdr:rowOff>88900</xdr:rowOff>
    </xdr:to>
    <xdr:graphicFrame macro="">
      <xdr:nvGraphicFramePr>
        <xdr:cNvPr id="2" name="Chart 1">
          <a:extLst>
            <a:ext uri="{FF2B5EF4-FFF2-40B4-BE49-F238E27FC236}">
              <a16:creationId xmlns:a16="http://schemas.microsoft.com/office/drawing/2014/main" id="{A7DAC54A-0225-8C0F-B021-AEAA639DC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19050</xdr:colOff>
      <xdr:row>9</xdr:row>
      <xdr:rowOff>177800</xdr:rowOff>
    </xdr:from>
    <xdr:to>
      <xdr:col>6</xdr:col>
      <xdr:colOff>317500</xdr:colOff>
      <xdr:row>24</xdr:row>
      <xdr:rowOff>63500</xdr:rowOff>
    </xdr:to>
    <xdr:graphicFrame macro="">
      <xdr:nvGraphicFramePr>
        <xdr:cNvPr id="2" name="Chart 1">
          <a:extLst>
            <a:ext uri="{FF2B5EF4-FFF2-40B4-BE49-F238E27FC236}">
              <a16:creationId xmlns:a16="http://schemas.microsoft.com/office/drawing/2014/main" id="{88B802A7-BCFE-BD94-F34D-B0C48C7AA5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rlene Gaskins" refreshedDate="45824.682976736112" createdVersion="8" refreshedVersion="8" minRefreshableVersion="3" recordCount="51" xr:uid="{FB9A3B94-4648-3641-8B5D-D0DEEB5C9D5F}">
  <cacheSource type="worksheet">
    <worksheetSource ref="A1:J1048576" sheet="Call Center Dashboard"/>
  </cacheSource>
  <cacheFields count="10">
    <cacheField name="Date" numFmtId="0">
      <sharedItems containsNonDate="0" containsDate="1" containsString="0" containsBlank="1" minDate="2025-06-10T00:00:00" maxDate="2025-06-20T00:00:00"/>
    </cacheField>
    <cacheField name="Collector Name" numFmtId="0">
      <sharedItems containsBlank="1" count="6">
        <s v="Agent A"/>
        <s v="Agent B"/>
        <s v="Agent C"/>
        <s v="Agent D"/>
        <s v="Agent E"/>
        <m/>
      </sharedItems>
    </cacheField>
    <cacheField name="Scheduled Start" numFmtId="0">
      <sharedItems containsBlank="1"/>
    </cacheField>
    <cacheField name="Actual Start" numFmtId="0">
      <sharedItems containsBlank="1"/>
    </cacheField>
    <cacheField name="Scheduled End" numFmtId="0">
      <sharedItems containsBlank="1"/>
    </cacheField>
    <cacheField name="Actual End" numFmtId="0">
      <sharedItems containsBlank="1"/>
    </cacheField>
    <cacheField name="Break Taken (Y/N)" numFmtId="0">
      <sharedItems containsBlank="1"/>
    </cacheField>
    <cacheField name="Lunch Taken (Y/N)" numFmtId="0">
      <sharedItems containsBlank="1"/>
    </cacheField>
    <cacheField name="Adherence %" numFmtId="0">
      <sharedItems containsString="0" containsBlank="1" containsNumber="1" containsInteger="1" minValue="85" maxValue="100"/>
    </cacheField>
    <cacheField name="Exception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rlene Gaskins" refreshedDate="45824.768767361114" createdVersion="8" refreshedVersion="8" minRefreshableVersion="3" recordCount="32" xr:uid="{32096F3D-1827-CE4A-A1FC-1353FAC91D8B}">
  <cacheSource type="worksheet">
    <worksheetSource ref="A1:G1048576" sheet="Outage Tracker"/>
  </cacheSource>
  <cacheFields count="7">
    <cacheField name="Date" numFmtId="0">
      <sharedItems containsNonDate="0" containsDate="1" containsString="0" containsBlank="1" minDate="2025-06-10T00:00:00" maxDate="2025-06-20T00:00:00" count="11">
        <d v="2025-06-10T00:00:00"/>
        <d v="2025-06-11T00:00:00"/>
        <d v="2025-06-12T00:00:00"/>
        <d v="2025-06-13T00:00:00"/>
        <d v="2025-06-14T00:00:00"/>
        <d v="2025-06-15T00:00:00"/>
        <d v="2025-06-16T00:00:00"/>
        <d v="2025-06-17T00:00:00"/>
        <d v="2025-06-18T00:00:00"/>
        <d v="2025-06-19T00:00:00"/>
        <m/>
      </sharedItems>
    </cacheField>
    <cacheField name="Collector Name" numFmtId="0">
      <sharedItems containsBlank="1" count="6">
        <s v="Agent A"/>
        <s v="Agent B"/>
        <s v="Agent C"/>
        <s v="Agent D"/>
        <s v="Agent E"/>
        <m/>
      </sharedItems>
    </cacheField>
    <cacheField name="Outage Type" numFmtId="0">
      <sharedItems containsBlank="1" count="5">
        <s v="Internet"/>
        <s v="Power"/>
        <s v="System"/>
        <s v="Hardware"/>
        <m/>
      </sharedItems>
    </cacheField>
    <cacheField name="Start Time" numFmtId="0">
      <sharedItems containsBlank="1"/>
    </cacheField>
    <cacheField name="End Time" numFmtId="0">
      <sharedItems containsDate="1" containsBlank="1" containsMixedTypes="1" minDate="1899-12-30T10:05:00" maxDate="1899-12-30T11:35:00"/>
    </cacheField>
    <cacheField name="Duration (mins)" numFmtId="1">
      <sharedItems containsString="0" containsBlank="1" containsNumber="1" minValue="4.9999999999999822" maxValue="94.999999999999986"/>
    </cacheField>
    <cacheField name="Resolution Notes" numFmtId="0">
      <sharedItems containsBlank="1"/>
    </cacheField>
  </cacheFields>
  <extLst>
    <ext xmlns:x14="http://schemas.microsoft.com/office/spreadsheetml/2009/9/main" uri="{725AE2AE-9491-48be-B2B4-4EB974FC3084}">
      <x14:pivotCacheDefinition pivotCacheId="98150783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rlene Gaskins" refreshedDate="45824.787667245371" createdVersion="8" refreshedVersion="8" minRefreshableVersion="3" recordCount="16" xr:uid="{3DA049E6-39F4-8B4C-B114-ECD5747EE1A2}">
  <cacheSource type="worksheet">
    <worksheetSource ref="A1:F1048576" sheet="Room Assignment"/>
  </cacheSource>
  <cacheFields count="6">
    <cacheField name="Collector ID" numFmtId="0">
      <sharedItems containsString="0" containsBlank="1" containsNumber="1" containsInteger="1" minValue="101" maxValue="105" count="6">
        <n v="101"/>
        <n v="102"/>
        <n v="103"/>
        <n v="104"/>
        <n v="105"/>
        <m/>
      </sharedItems>
    </cacheField>
    <cacheField name="Collector Name" numFmtId="0">
      <sharedItems containsBlank="1" count="6">
        <s v="Agent A"/>
        <s v="Agent B"/>
        <s v="Agent C"/>
        <s v="Agent D"/>
        <s v="Agent E"/>
        <m/>
      </sharedItems>
    </cacheField>
    <cacheField name="Current Room" numFmtId="0">
      <sharedItems containsBlank="1"/>
    </cacheField>
    <cacheField name="New Room" numFmtId="0">
      <sharedItems containsBlank="1"/>
    </cacheField>
    <cacheField name="Reason for Move" numFmtId="0">
      <sharedItems containsBlank="1" count="6">
        <s v="Coverage"/>
        <s v="Training"/>
        <s v="Support"/>
        <s v="Behavioral"/>
        <s v="Schedule Change"/>
        <m/>
      </sharedItems>
    </cacheField>
    <cacheField name="Timestamp" numFmtId="0">
      <sharedItems containsNonDate="0" containsDate="1" containsString="0" containsBlank="1" minDate="2025-06-16T18:52:46" maxDate="2025-06-16T18:52:46" count="2">
        <d v="2025-06-16T18:52:46"/>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d v="2025-06-10T00:00:00"/>
    <x v="0"/>
    <s v="09:00 AM"/>
    <s v="09:00 AM"/>
    <s v="05:00 PM"/>
    <s v="05:00 PM"/>
    <s v="Y"/>
    <s v="Y"/>
    <n v="98"/>
    <m/>
  </r>
  <r>
    <d v="2025-06-11T00:00:00"/>
    <x v="1"/>
    <s v="09:00 AM"/>
    <s v="09:05 AM"/>
    <s v="05:00 PM"/>
    <s v="04:55 PM"/>
    <s v="Y"/>
    <s v="N"/>
    <n v="92"/>
    <s v="Late Start"/>
  </r>
  <r>
    <d v="2025-06-12T00:00:00"/>
    <x v="2"/>
    <s v="09:00 AM"/>
    <s v="08:55 AM"/>
    <s v="05:00 PM"/>
    <s v="05:00 PM"/>
    <s v="Y"/>
    <s v="Y"/>
    <n v="100"/>
    <m/>
  </r>
  <r>
    <d v="2025-06-13T00:00:00"/>
    <x v="3"/>
    <s v="09:00 AM"/>
    <s v="09:00 AM"/>
    <s v="05:00 PM"/>
    <s v="05:05 PM"/>
    <s v="N"/>
    <s v="Y"/>
    <n v="85"/>
    <s v="Missed Break"/>
  </r>
  <r>
    <d v="2025-06-14T00:00:00"/>
    <x v="4"/>
    <s v="09:00 AM"/>
    <s v="09:10 AM"/>
    <s v="05:00 PM"/>
    <s v="05:00 PM"/>
    <s v="Y"/>
    <s v="Y"/>
    <n v="90"/>
    <s v="Early Out"/>
  </r>
  <r>
    <d v="2025-06-15T00:00:00"/>
    <x v="0"/>
    <s v="09:00 AM"/>
    <s v="09:00 AM"/>
    <s v="05:00 PM"/>
    <s v="05:00 PM"/>
    <s v="Y"/>
    <s v="Y"/>
    <n v="98"/>
    <m/>
  </r>
  <r>
    <d v="2025-06-16T00:00:00"/>
    <x v="1"/>
    <s v="09:00 AM"/>
    <s v="09:05 AM"/>
    <s v="05:00 PM"/>
    <s v="04:55 PM"/>
    <s v="Y"/>
    <s v="N"/>
    <n v="92"/>
    <s v="Late Start"/>
  </r>
  <r>
    <d v="2025-06-17T00:00:00"/>
    <x v="2"/>
    <s v="09:00 AM"/>
    <s v="08:55 AM"/>
    <s v="05:00 PM"/>
    <s v="05:00 PM"/>
    <s v="Y"/>
    <s v="Y"/>
    <n v="100"/>
    <m/>
  </r>
  <r>
    <d v="2025-06-18T00:00:00"/>
    <x v="3"/>
    <s v="09:00 AM"/>
    <s v="09:00 AM"/>
    <s v="05:00 PM"/>
    <s v="05:05 PM"/>
    <s v="N"/>
    <s v="Y"/>
    <n v="85"/>
    <s v="Missed Break"/>
  </r>
  <r>
    <d v="2025-06-19T00:00:00"/>
    <x v="4"/>
    <s v="09:00 AM"/>
    <s v="09:10 AM"/>
    <s v="05:00 PM"/>
    <s v="05:00 PM"/>
    <s v="Y"/>
    <s v="Y"/>
    <n v="90"/>
    <s v="Early Out"/>
  </r>
  <r>
    <d v="2025-06-10T00:00:00"/>
    <x v="0"/>
    <s v="09:00 AM"/>
    <s v="09:00 AM"/>
    <s v="05:00 PM"/>
    <s v="05:00 PM"/>
    <s v="Y"/>
    <s v="Y"/>
    <n v="98"/>
    <m/>
  </r>
  <r>
    <d v="2025-06-11T00:00:00"/>
    <x v="1"/>
    <s v="09:00 AM"/>
    <s v="09:05 AM"/>
    <s v="05:00 PM"/>
    <s v="04:55 PM"/>
    <s v="Y"/>
    <s v="N"/>
    <n v="92"/>
    <s v="Late Start"/>
  </r>
  <r>
    <d v="2025-06-12T00:00:00"/>
    <x v="2"/>
    <s v="09:00 AM"/>
    <s v="08:55 AM"/>
    <s v="05:00 PM"/>
    <s v="05:00 PM"/>
    <s v="Y"/>
    <s v="Y"/>
    <n v="100"/>
    <m/>
  </r>
  <r>
    <d v="2025-06-13T00:00:00"/>
    <x v="3"/>
    <s v="09:00 AM"/>
    <s v="09:00 AM"/>
    <s v="05:00 PM"/>
    <s v="05:05 PM"/>
    <s v="N"/>
    <s v="Y"/>
    <n v="85"/>
    <s v="Missed Break"/>
  </r>
  <r>
    <d v="2025-06-14T00:00:00"/>
    <x v="4"/>
    <s v="09:00 AM"/>
    <s v="09:10 AM"/>
    <s v="05:00 PM"/>
    <s v="05:00 PM"/>
    <s v="Y"/>
    <s v="Y"/>
    <n v="90"/>
    <s v="Early Out"/>
  </r>
  <r>
    <d v="2025-06-15T00:00:00"/>
    <x v="0"/>
    <s v="09:00 AM"/>
    <s v="09:00 AM"/>
    <s v="05:00 PM"/>
    <s v="05:00 PM"/>
    <s v="Y"/>
    <s v="Y"/>
    <n v="98"/>
    <m/>
  </r>
  <r>
    <d v="2025-06-16T00:00:00"/>
    <x v="1"/>
    <s v="09:00 AM"/>
    <s v="09:05 AM"/>
    <s v="05:00 PM"/>
    <s v="04:55 PM"/>
    <s v="Y"/>
    <s v="N"/>
    <n v="92"/>
    <s v="Late Start"/>
  </r>
  <r>
    <d v="2025-06-17T00:00:00"/>
    <x v="2"/>
    <s v="09:00 AM"/>
    <s v="08:55 AM"/>
    <s v="05:00 PM"/>
    <s v="05:00 PM"/>
    <s v="Y"/>
    <s v="Y"/>
    <n v="100"/>
    <m/>
  </r>
  <r>
    <d v="2025-06-18T00:00:00"/>
    <x v="3"/>
    <s v="09:00 AM"/>
    <s v="09:00 AM"/>
    <s v="05:00 PM"/>
    <s v="05:05 PM"/>
    <s v="N"/>
    <s v="Y"/>
    <n v="85"/>
    <s v="Missed Break"/>
  </r>
  <r>
    <d v="2025-06-19T00:00:00"/>
    <x v="4"/>
    <s v="09:00 AM"/>
    <s v="09:10 AM"/>
    <s v="05:00 PM"/>
    <s v="05:00 PM"/>
    <s v="Y"/>
    <s v="Y"/>
    <n v="90"/>
    <s v="Early Out"/>
  </r>
  <r>
    <d v="2025-06-10T00:00:00"/>
    <x v="0"/>
    <s v="09:00 AM"/>
    <s v="09:00 AM"/>
    <s v="05:00 PM"/>
    <s v="05:00 PM"/>
    <s v="Y"/>
    <s v="Y"/>
    <n v="98"/>
    <m/>
  </r>
  <r>
    <d v="2025-06-11T00:00:00"/>
    <x v="1"/>
    <s v="09:00 AM"/>
    <s v="09:05 AM"/>
    <s v="05:00 PM"/>
    <s v="04:55 PM"/>
    <s v="Y"/>
    <s v="N"/>
    <n v="92"/>
    <s v="Late Start"/>
  </r>
  <r>
    <d v="2025-06-12T00:00:00"/>
    <x v="2"/>
    <s v="09:00 AM"/>
    <s v="08:55 AM"/>
    <s v="05:00 PM"/>
    <s v="05:00 PM"/>
    <s v="Y"/>
    <s v="Y"/>
    <n v="100"/>
    <m/>
  </r>
  <r>
    <d v="2025-06-13T00:00:00"/>
    <x v="3"/>
    <s v="09:00 AM"/>
    <s v="09:00 AM"/>
    <s v="05:00 PM"/>
    <s v="05:05 PM"/>
    <s v="N"/>
    <s v="Y"/>
    <n v="85"/>
    <s v="Missed Break"/>
  </r>
  <r>
    <d v="2025-06-14T00:00:00"/>
    <x v="4"/>
    <s v="09:00 AM"/>
    <s v="09:10 AM"/>
    <s v="05:00 PM"/>
    <s v="05:00 PM"/>
    <s v="Y"/>
    <s v="Y"/>
    <n v="90"/>
    <s v="Early Out"/>
  </r>
  <r>
    <d v="2025-06-15T00:00:00"/>
    <x v="0"/>
    <s v="09:00 AM"/>
    <s v="09:00 AM"/>
    <s v="05:00 PM"/>
    <s v="05:00 PM"/>
    <s v="Y"/>
    <s v="Y"/>
    <n v="98"/>
    <m/>
  </r>
  <r>
    <d v="2025-06-16T00:00:00"/>
    <x v="1"/>
    <s v="09:00 AM"/>
    <s v="09:05 AM"/>
    <s v="05:00 PM"/>
    <s v="04:55 PM"/>
    <s v="Y"/>
    <s v="N"/>
    <n v="92"/>
    <s v="Late Start"/>
  </r>
  <r>
    <d v="2025-06-17T00:00:00"/>
    <x v="2"/>
    <s v="09:00 AM"/>
    <s v="08:55 AM"/>
    <s v="05:00 PM"/>
    <s v="05:00 PM"/>
    <s v="Y"/>
    <s v="Y"/>
    <n v="100"/>
    <m/>
  </r>
  <r>
    <d v="2025-06-18T00:00:00"/>
    <x v="3"/>
    <s v="09:00 AM"/>
    <s v="09:00 AM"/>
    <s v="05:00 PM"/>
    <s v="05:05 PM"/>
    <s v="N"/>
    <s v="Y"/>
    <n v="85"/>
    <s v="Missed Break"/>
  </r>
  <r>
    <d v="2025-06-19T00:00:00"/>
    <x v="4"/>
    <s v="09:00 AM"/>
    <s v="09:10 AM"/>
    <s v="05:00 PM"/>
    <s v="05:00 PM"/>
    <s v="Y"/>
    <s v="Y"/>
    <n v="90"/>
    <s v="Early Out"/>
  </r>
  <r>
    <d v="2025-06-10T00:00:00"/>
    <x v="0"/>
    <s v="09:00 AM"/>
    <s v="09:00 AM"/>
    <s v="05:00 PM"/>
    <s v="05:00 PM"/>
    <s v="Y"/>
    <s v="Y"/>
    <n v="98"/>
    <m/>
  </r>
  <r>
    <d v="2025-06-11T00:00:00"/>
    <x v="1"/>
    <s v="09:00 AM"/>
    <s v="09:05 AM"/>
    <s v="05:00 PM"/>
    <s v="04:55 PM"/>
    <s v="Y"/>
    <s v="N"/>
    <n v="92"/>
    <s v="Late Start"/>
  </r>
  <r>
    <d v="2025-06-12T00:00:00"/>
    <x v="2"/>
    <s v="09:00 AM"/>
    <s v="08:55 AM"/>
    <s v="05:00 PM"/>
    <s v="05:00 PM"/>
    <s v="Y"/>
    <s v="Y"/>
    <n v="100"/>
    <m/>
  </r>
  <r>
    <d v="2025-06-13T00:00:00"/>
    <x v="3"/>
    <s v="09:00 AM"/>
    <s v="09:00 AM"/>
    <s v="05:00 PM"/>
    <s v="05:05 PM"/>
    <s v="N"/>
    <s v="Y"/>
    <n v="85"/>
    <s v="Missed Break"/>
  </r>
  <r>
    <d v="2025-06-14T00:00:00"/>
    <x v="4"/>
    <s v="09:00 AM"/>
    <s v="09:10 AM"/>
    <s v="05:00 PM"/>
    <s v="05:00 PM"/>
    <s v="Y"/>
    <s v="Y"/>
    <n v="90"/>
    <s v="Early Out"/>
  </r>
  <r>
    <d v="2025-06-15T00:00:00"/>
    <x v="0"/>
    <s v="09:00 AM"/>
    <s v="09:00 AM"/>
    <s v="05:00 PM"/>
    <s v="05:00 PM"/>
    <s v="Y"/>
    <s v="Y"/>
    <n v="98"/>
    <m/>
  </r>
  <r>
    <d v="2025-06-16T00:00:00"/>
    <x v="1"/>
    <s v="09:00 AM"/>
    <s v="09:05 AM"/>
    <s v="05:00 PM"/>
    <s v="04:55 PM"/>
    <s v="Y"/>
    <s v="N"/>
    <n v="92"/>
    <s v="Late Start"/>
  </r>
  <r>
    <d v="2025-06-17T00:00:00"/>
    <x v="2"/>
    <s v="09:00 AM"/>
    <s v="08:55 AM"/>
    <s v="05:00 PM"/>
    <s v="05:00 PM"/>
    <s v="Y"/>
    <s v="Y"/>
    <n v="100"/>
    <m/>
  </r>
  <r>
    <d v="2025-06-18T00:00:00"/>
    <x v="3"/>
    <s v="09:00 AM"/>
    <s v="09:00 AM"/>
    <s v="05:00 PM"/>
    <s v="05:05 PM"/>
    <s v="N"/>
    <s v="Y"/>
    <n v="85"/>
    <s v="Missed Break"/>
  </r>
  <r>
    <d v="2025-06-19T00:00:00"/>
    <x v="4"/>
    <s v="09:00 AM"/>
    <s v="09:10 AM"/>
    <s v="05:00 PM"/>
    <s v="05:00 PM"/>
    <s v="Y"/>
    <s v="Y"/>
    <n v="90"/>
    <s v="Early Out"/>
  </r>
  <r>
    <d v="2025-06-10T00:00:00"/>
    <x v="0"/>
    <s v="09:00 AM"/>
    <s v="09:00 AM"/>
    <s v="05:00 PM"/>
    <s v="05:00 PM"/>
    <s v="Y"/>
    <s v="Y"/>
    <n v="98"/>
    <m/>
  </r>
  <r>
    <d v="2025-06-11T00:00:00"/>
    <x v="1"/>
    <s v="09:00 AM"/>
    <s v="09:05 AM"/>
    <s v="05:00 PM"/>
    <s v="04:55 PM"/>
    <s v="Y"/>
    <s v="N"/>
    <n v="92"/>
    <s v="Late Start"/>
  </r>
  <r>
    <d v="2025-06-12T00:00:00"/>
    <x v="2"/>
    <s v="09:00 AM"/>
    <s v="08:55 AM"/>
    <s v="05:00 PM"/>
    <s v="05:00 PM"/>
    <s v="Y"/>
    <s v="Y"/>
    <n v="100"/>
    <m/>
  </r>
  <r>
    <d v="2025-06-13T00:00:00"/>
    <x v="3"/>
    <s v="09:00 AM"/>
    <s v="09:00 AM"/>
    <s v="05:00 PM"/>
    <s v="05:05 PM"/>
    <s v="N"/>
    <s v="Y"/>
    <n v="85"/>
    <s v="Missed Break"/>
  </r>
  <r>
    <d v="2025-06-14T00:00:00"/>
    <x v="4"/>
    <s v="09:00 AM"/>
    <s v="09:10 AM"/>
    <s v="05:00 PM"/>
    <s v="05:00 PM"/>
    <s v="Y"/>
    <s v="Y"/>
    <n v="90"/>
    <s v="Early Out"/>
  </r>
  <r>
    <d v="2025-06-15T00:00:00"/>
    <x v="0"/>
    <s v="09:00 AM"/>
    <s v="09:00 AM"/>
    <s v="05:00 PM"/>
    <s v="05:00 PM"/>
    <s v="Y"/>
    <s v="Y"/>
    <n v="98"/>
    <m/>
  </r>
  <r>
    <d v="2025-06-16T00:00:00"/>
    <x v="1"/>
    <s v="09:00 AM"/>
    <s v="09:05 AM"/>
    <s v="05:00 PM"/>
    <s v="04:55 PM"/>
    <s v="Y"/>
    <s v="N"/>
    <n v="92"/>
    <s v="Late Start"/>
  </r>
  <r>
    <d v="2025-06-17T00:00:00"/>
    <x v="2"/>
    <s v="09:00 AM"/>
    <s v="08:55 AM"/>
    <s v="05:00 PM"/>
    <s v="05:00 PM"/>
    <s v="Y"/>
    <s v="Y"/>
    <n v="100"/>
    <m/>
  </r>
  <r>
    <d v="2025-06-18T00:00:00"/>
    <x v="3"/>
    <s v="09:00 AM"/>
    <s v="09:00 AM"/>
    <s v="05:00 PM"/>
    <s v="05:05 PM"/>
    <s v="N"/>
    <s v="Y"/>
    <n v="85"/>
    <s v="Missed Break"/>
  </r>
  <r>
    <d v="2025-06-19T00:00:00"/>
    <x v="4"/>
    <s v="09:00 AM"/>
    <s v="09:10 AM"/>
    <s v="05:00 PM"/>
    <s v="05:00 PM"/>
    <s v="Y"/>
    <s v="Y"/>
    <n v="90"/>
    <s v="Early Out"/>
  </r>
  <r>
    <m/>
    <x v="5"/>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s v="10:00 AM"/>
    <s v="10:30 AM"/>
    <n v="29.999999999999972"/>
    <s v="Reset Router"/>
  </r>
  <r>
    <x v="1"/>
    <x v="1"/>
    <x v="1"/>
    <s v="10:00 AM"/>
    <d v="1899-12-30T10:15:00"/>
    <n v="14.999999999999947"/>
    <s v="Waited"/>
  </r>
  <r>
    <x v="2"/>
    <x v="2"/>
    <x v="2"/>
    <s v="10:00 AM"/>
    <d v="1899-12-30T10:45:00"/>
    <n v="45"/>
    <s v="Restart PC"/>
  </r>
  <r>
    <x v="3"/>
    <x v="3"/>
    <x v="0"/>
    <s v="10:00 AM"/>
    <d v="1899-12-30T10:20:00"/>
    <n v="20.000000000000007"/>
    <s v="Tech Support"/>
  </r>
  <r>
    <x v="4"/>
    <x v="4"/>
    <x v="3"/>
    <s v="10:00 AM"/>
    <d v="1899-12-30T11:35:00"/>
    <n v="94.999999999999986"/>
    <s v="Reboot"/>
  </r>
  <r>
    <x v="5"/>
    <x v="0"/>
    <x v="0"/>
    <s v="10:00 AM"/>
    <d v="1899-12-30T11:20:00"/>
    <n v="79.999999999999957"/>
    <s v="Reset Router"/>
  </r>
  <r>
    <x v="6"/>
    <x v="1"/>
    <x v="1"/>
    <s v="10:00 AM"/>
    <d v="1899-12-30T10:10:00"/>
    <n v="9.9999999999999645"/>
    <s v="Waited"/>
  </r>
  <r>
    <x v="7"/>
    <x v="2"/>
    <x v="2"/>
    <s v="10:00 AM"/>
    <d v="1899-12-30T10:25:00"/>
    <n v="24.999999999999993"/>
    <s v="Restart PC"/>
  </r>
  <r>
    <x v="8"/>
    <x v="3"/>
    <x v="0"/>
    <s v="10:00 AM"/>
    <d v="1899-12-30T10:05:00"/>
    <n v="4.9999999999999822"/>
    <s v="Tech Support"/>
  </r>
  <r>
    <x v="9"/>
    <x v="4"/>
    <x v="3"/>
    <s v="10:00 AM"/>
    <d v="1899-12-30T10:35:00"/>
    <n v="34.999999999999957"/>
    <s v="Reboot"/>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r>
    <x v="10"/>
    <x v="5"/>
    <x v="4"/>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x v="0"/>
    <s v="Room 2"/>
    <s v="Room 2"/>
    <x v="0"/>
    <x v="0"/>
  </r>
  <r>
    <x v="1"/>
    <x v="1"/>
    <s v="Room 2"/>
    <s v="Room 1"/>
    <x v="1"/>
    <x v="1"/>
  </r>
  <r>
    <x v="2"/>
    <x v="2"/>
    <s v="Room 2"/>
    <s v="Room 3"/>
    <x v="2"/>
    <x v="1"/>
  </r>
  <r>
    <x v="3"/>
    <x v="3"/>
    <s v="Room 3"/>
    <s v="Room 2"/>
    <x v="3"/>
    <x v="1"/>
  </r>
  <r>
    <x v="4"/>
    <x v="4"/>
    <s v="Room 2"/>
    <s v="Room 1"/>
    <x v="4"/>
    <x v="1"/>
  </r>
  <r>
    <x v="5"/>
    <x v="5"/>
    <m/>
    <m/>
    <x v="5"/>
    <x v="1"/>
  </r>
  <r>
    <x v="5"/>
    <x v="5"/>
    <m/>
    <m/>
    <x v="5"/>
    <x v="1"/>
  </r>
  <r>
    <x v="5"/>
    <x v="5"/>
    <m/>
    <m/>
    <x v="5"/>
    <x v="1"/>
  </r>
  <r>
    <x v="5"/>
    <x v="5"/>
    <m/>
    <m/>
    <x v="5"/>
    <x v="1"/>
  </r>
  <r>
    <x v="5"/>
    <x v="5"/>
    <m/>
    <m/>
    <x v="5"/>
    <x v="1"/>
  </r>
  <r>
    <x v="5"/>
    <x v="5"/>
    <m/>
    <m/>
    <x v="5"/>
    <x v="1"/>
  </r>
  <r>
    <x v="5"/>
    <x v="5"/>
    <m/>
    <m/>
    <x v="5"/>
    <x v="1"/>
  </r>
  <r>
    <x v="5"/>
    <x v="5"/>
    <m/>
    <m/>
    <x v="5"/>
    <x v="1"/>
  </r>
  <r>
    <x v="5"/>
    <x v="5"/>
    <m/>
    <m/>
    <x v="5"/>
    <x v="1"/>
  </r>
  <r>
    <x v="5"/>
    <x v="5"/>
    <m/>
    <m/>
    <x v="5"/>
    <x v="1"/>
  </r>
  <r>
    <x v="5"/>
    <x v="5"/>
    <m/>
    <m/>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C07E4D-24C9-E848-9D71-45296763F5B9}"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7" firstHeaderRow="0" firstDataRow="1" firstDataCol="1"/>
  <pivotFields count="10">
    <pivotField showAll="0"/>
    <pivotField axis="axisRow" showAll="0">
      <items count="7">
        <item x="0"/>
        <item x="1"/>
        <item x="2"/>
        <item x="3"/>
        <item x="4"/>
        <item h="1" x="5"/>
        <item t="default"/>
      </items>
    </pivotField>
    <pivotField showAll="0"/>
    <pivotField showAll="0"/>
    <pivotField showAll="0"/>
    <pivotField showAll="0"/>
    <pivotField showAll="0"/>
    <pivotField showAll="0"/>
    <pivotField dataField="1" showAll="0"/>
    <pivotField dataField="1" showAll="0"/>
  </pivotFields>
  <rowFields count="1">
    <field x="1"/>
  </rowFields>
  <rowItems count="6">
    <i>
      <x/>
    </i>
    <i>
      <x v="1"/>
    </i>
    <i>
      <x v="2"/>
    </i>
    <i>
      <x v="3"/>
    </i>
    <i>
      <x v="4"/>
    </i>
    <i t="grand">
      <x/>
    </i>
  </rowItems>
  <colFields count="1">
    <field x="-2"/>
  </colFields>
  <colItems count="2">
    <i>
      <x/>
    </i>
    <i i="1">
      <x v="1"/>
    </i>
  </colItems>
  <dataFields count="2">
    <dataField name="Average of Adherence %" fld="8" subtotal="average" baseField="0" baseItem="0"/>
    <dataField name="Count of Exceptions" fld="9"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A5E3AF-7124-1440-BE5C-4A7811455E16}" name="PivotTable3"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13" firstHeaderRow="1" firstDataRow="1" firstDataCol="1"/>
  <pivotFields count="7">
    <pivotField showAll="0">
      <items count="12">
        <item x="0"/>
        <item x="1"/>
        <item x="2"/>
        <item x="3"/>
        <item x="4"/>
        <item x="5"/>
        <item x="6"/>
        <item x="7"/>
        <item x="8"/>
        <item x="9"/>
        <item x="10"/>
        <item t="default"/>
      </items>
    </pivotField>
    <pivotField axis="axisRow" showAll="0">
      <items count="7">
        <item x="0"/>
        <item x="1"/>
        <item x="2"/>
        <item x="3"/>
        <item x="4"/>
        <item x="5"/>
        <item t="default"/>
      </items>
    </pivotField>
    <pivotField axis="axisRow" showAll="0">
      <items count="6">
        <item x="3"/>
        <item x="0"/>
        <item x="1"/>
        <item x="2"/>
        <item x="4"/>
        <item t="default"/>
      </items>
    </pivotField>
    <pivotField showAll="0"/>
    <pivotField showAll="0"/>
    <pivotField dataField="1" showAll="0"/>
    <pivotField showAll="0"/>
  </pivotFields>
  <rowFields count="2">
    <field x="2"/>
    <field x="1"/>
  </rowFields>
  <rowItems count="12">
    <i>
      <x/>
    </i>
    <i r="1">
      <x v="4"/>
    </i>
    <i>
      <x v="1"/>
    </i>
    <i r="1">
      <x/>
    </i>
    <i r="1">
      <x v="3"/>
    </i>
    <i>
      <x v="2"/>
    </i>
    <i r="1">
      <x v="1"/>
    </i>
    <i>
      <x v="3"/>
    </i>
    <i r="1">
      <x v="2"/>
    </i>
    <i>
      <x v="4"/>
    </i>
    <i r="1">
      <x v="5"/>
    </i>
    <i t="grand">
      <x/>
    </i>
  </rowItems>
  <colItems count="1">
    <i/>
  </colItems>
  <dataFields count="1">
    <dataField name="Sum of Duration (mins)"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87B8C9-B1CB-7643-8CFB-9301F771D817}" name="PivotTable4"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1:B22" firstHeaderRow="1" firstDataRow="1" firstDataCol="1"/>
  <pivotFields count="6">
    <pivotField dataField="1" showAll="0">
      <items count="7">
        <item x="0"/>
        <item x="1"/>
        <item x="2"/>
        <item x="3"/>
        <item x="4"/>
        <item x="5"/>
        <item t="default"/>
      </items>
    </pivotField>
    <pivotField axis="axisRow" showAll="0">
      <items count="7">
        <item x="0"/>
        <item x="1"/>
        <item x="2"/>
        <item x="3"/>
        <item x="4"/>
        <item x="5"/>
        <item t="default"/>
      </items>
    </pivotField>
    <pivotField showAll="0"/>
    <pivotField showAll="0"/>
    <pivotField axis="axisRow" showAll="0">
      <items count="7">
        <item x="3"/>
        <item x="0"/>
        <item x="4"/>
        <item x="2"/>
        <item x="1"/>
        <item h="1" x="5"/>
        <item t="default"/>
      </items>
    </pivotField>
    <pivotField showAll="0">
      <items count="3">
        <item x="0"/>
        <item x="1"/>
        <item t="default"/>
      </items>
    </pivotField>
  </pivotFields>
  <rowFields count="2">
    <field x="4"/>
    <field x="1"/>
  </rowFields>
  <rowItems count="11">
    <i>
      <x/>
    </i>
    <i r="1">
      <x v="3"/>
    </i>
    <i>
      <x v="1"/>
    </i>
    <i r="1">
      <x/>
    </i>
    <i>
      <x v="2"/>
    </i>
    <i r="1">
      <x v="4"/>
    </i>
    <i>
      <x v="3"/>
    </i>
    <i r="1">
      <x v="2"/>
    </i>
    <i>
      <x v="4"/>
    </i>
    <i r="1">
      <x v="1"/>
    </i>
    <i t="grand">
      <x/>
    </i>
  </rowItems>
  <colItems count="1">
    <i/>
  </colItems>
  <dataFields count="1">
    <dataField name="Count of Collector ID" fld="0" subtotal="count"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age_Type" xr10:uid="{C4F2AB6B-BE72-6A4A-9005-96F24E35897C}" sourceName="Outage Type">
  <pivotTables>
    <pivotTable tabId="6" name="PivotTable3"/>
  </pivotTables>
  <data>
    <tabular pivotCacheId="981507834" crossFilter="none">
      <items count="5">
        <i x="3" s="1"/>
        <i x="0" s="1"/>
        <i x="1"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8DFF58AE-E07B-4E44-9DAE-ECBA78932AAA}" sourceName="Date">
  <pivotTables>
    <pivotTable tabId="6" name="PivotTable3"/>
  </pivotTables>
  <data>
    <tabular pivotCacheId="981507834">
      <items count="11">
        <i x="0" s="1"/>
        <i x="1" s="1"/>
        <i x="2" s="1"/>
        <i x="3" s="1"/>
        <i x="4" s="1"/>
        <i x="5" s="1"/>
        <i x="6" s="1"/>
        <i x="7" s="1"/>
        <i x="8" s="1"/>
        <i x="9" s="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age Type" xr10:uid="{96125C31-2FDE-C240-AD86-810C75F807F5}" cache="Slicer_Outage_Type" caption="Outage Type" rowHeight="230716"/>
  <slicer name="Date" xr10:uid="{58BDB99A-D732-1743-A4AF-17D8AC833260}" cache="Slicer_Date" caption="Date" rowHeight="230716"/>
  <slicer name="Date 1" xr10:uid="{0FC8EDA7-B151-2644-8A55-B45DBEFF4871}" cache="Slicer_Date" caption="Date" rowHeight="230716"/>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1"/>
  <sheetViews>
    <sheetView topLeftCell="A4" workbookViewId="0">
      <selection activeCell="B57" sqref="B57"/>
    </sheetView>
  </sheetViews>
  <sheetFormatPr baseColWidth="10" defaultColWidth="8.83203125" defaultRowHeight="15" x14ac:dyDescent="0.2"/>
  <cols>
    <col min="1" max="1" width="19.83203125" customWidth="1"/>
    <col min="2" max="2" width="22.83203125" style="4" customWidth="1"/>
    <col min="3" max="3" width="23" style="5" customWidth="1"/>
    <col min="4" max="4" width="22.33203125" style="5" customWidth="1"/>
    <col min="5" max="5" width="21.5" style="5" customWidth="1"/>
    <col min="6" max="6" width="22.6640625" style="5" customWidth="1"/>
    <col min="7" max="7" width="21" style="5" customWidth="1"/>
    <col min="8" max="8" width="20.33203125" style="5" customWidth="1"/>
    <col min="9" max="9" width="21.33203125" style="5" customWidth="1"/>
    <col min="10" max="10" width="12.33203125" style="5" customWidth="1"/>
  </cols>
  <sheetData>
    <row r="1" spans="1:10" x14ac:dyDescent="0.2">
      <c r="A1" s="1" t="s">
        <v>0</v>
      </c>
      <c r="B1" s="3" t="s">
        <v>1</v>
      </c>
      <c r="C1" s="3" t="s">
        <v>2</v>
      </c>
      <c r="D1" s="3" t="s">
        <v>3</v>
      </c>
      <c r="E1" s="3" t="s">
        <v>4</v>
      </c>
      <c r="F1" s="3" t="s">
        <v>5</v>
      </c>
      <c r="G1" s="3" t="s">
        <v>6</v>
      </c>
      <c r="H1" s="3" t="s">
        <v>7</v>
      </c>
      <c r="I1" s="3" t="s">
        <v>8</v>
      </c>
      <c r="J1" s="3" t="s">
        <v>9</v>
      </c>
    </row>
    <row r="2" spans="1:10" x14ac:dyDescent="0.2">
      <c r="A2" s="2">
        <v>45818</v>
      </c>
      <c r="B2" s="5" t="s">
        <v>10</v>
      </c>
      <c r="C2" s="5" t="s">
        <v>15</v>
      </c>
      <c r="D2" s="5" t="s">
        <v>15</v>
      </c>
      <c r="E2" s="5" t="s">
        <v>19</v>
      </c>
      <c r="F2" s="5" t="s">
        <v>19</v>
      </c>
      <c r="G2" s="5" t="s">
        <v>22</v>
      </c>
      <c r="H2" s="5" t="s">
        <v>22</v>
      </c>
      <c r="I2" s="5">
        <v>98</v>
      </c>
    </row>
    <row r="3" spans="1:10" x14ac:dyDescent="0.2">
      <c r="A3" s="2">
        <v>45819</v>
      </c>
      <c r="B3" s="5" t="s">
        <v>11</v>
      </c>
      <c r="C3" s="5" t="s">
        <v>15</v>
      </c>
      <c r="D3" s="5" t="s">
        <v>16</v>
      </c>
      <c r="E3" s="5" t="s">
        <v>19</v>
      </c>
      <c r="F3" s="5" t="s">
        <v>20</v>
      </c>
      <c r="G3" s="5" t="s">
        <v>22</v>
      </c>
      <c r="H3" s="5" t="s">
        <v>23</v>
      </c>
      <c r="I3" s="5">
        <v>92</v>
      </c>
      <c r="J3" s="5" t="s">
        <v>24</v>
      </c>
    </row>
    <row r="4" spans="1:10" x14ac:dyDescent="0.2">
      <c r="A4" s="2">
        <v>45820</v>
      </c>
      <c r="B4" s="5" t="s">
        <v>12</v>
      </c>
      <c r="C4" s="5" t="s">
        <v>15</v>
      </c>
      <c r="D4" s="5" t="s">
        <v>17</v>
      </c>
      <c r="E4" s="5" t="s">
        <v>19</v>
      </c>
      <c r="F4" s="5" t="s">
        <v>19</v>
      </c>
      <c r="G4" s="5" t="s">
        <v>22</v>
      </c>
      <c r="H4" s="5" t="s">
        <v>22</v>
      </c>
      <c r="I4" s="5">
        <v>100</v>
      </c>
    </row>
    <row r="5" spans="1:10" x14ac:dyDescent="0.2">
      <c r="A5" s="2">
        <v>45821</v>
      </c>
      <c r="B5" s="5" t="s">
        <v>13</v>
      </c>
      <c r="C5" s="5" t="s">
        <v>15</v>
      </c>
      <c r="D5" s="5" t="s">
        <v>15</v>
      </c>
      <c r="E5" s="5" t="s">
        <v>19</v>
      </c>
      <c r="F5" s="5" t="s">
        <v>21</v>
      </c>
      <c r="G5" s="5" t="s">
        <v>23</v>
      </c>
      <c r="H5" s="5" t="s">
        <v>22</v>
      </c>
      <c r="I5" s="5">
        <v>85</v>
      </c>
      <c r="J5" s="5" t="s">
        <v>25</v>
      </c>
    </row>
    <row r="6" spans="1:10" x14ac:dyDescent="0.2">
      <c r="A6" s="2">
        <v>45822</v>
      </c>
      <c r="B6" s="5" t="s">
        <v>14</v>
      </c>
      <c r="C6" s="5" t="s">
        <v>15</v>
      </c>
      <c r="D6" s="5" t="s">
        <v>18</v>
      </c>
      <c r="E6" s="5" t="s">
        <v>19</v>
      </c>
      <c r="F6" s="5" t="s">
        <v>19</v>
      </c>
      <c r="G6" s="5" t="s">
        <v>22</v>
      </c>
      <c r="H6" s="5" t="s">
        <v>22</v>
      </c>
      <c r="I6" s="5">
        <v>90</v>
      </c>
      <c r="J6" s="5" t="s">
        <v>26</v>
      </c>
    </row>
    <row r="7" spans="1:10" x14ac:dyDescent="0.2">
      <c r="A7" s="2">
        <v>45823</v>
      </c>
      <c r="B7" s="5" t="s">
        <v>10</v>
      </c>
      <c r="C7" s="5" t="s">
        <v>15</v>
      </c>
      <c r="D7" s="5" t="s">
        <v>15</v>
      </c>
      <c r="E7" s="5" t="s">
        <v>19</v>
      </c>
      <c r="F7" s="5" t="s">
        <v>19</v>
      </c>
      <c r="G7" s="5" t="s">
        <v>22</v>
      </c>
      <c r="H7" s="5" t="s">
        <v>22</v>
      </c>
      <c r="I7" s="5">
        <v>98</v>
      </c>
    </row>
    <row r="8" spans="1:10" x14ac:dyDescent="0.2">
      <c r="A8" s="2">
        <v>45824</v>
      </c>
      <c r="B8" s="5" t="s">
        <v>11</v>
      </c>
      <c r="C8" s="5" t="s">
        <v>15</v>
      </c>
      <c r="D8" s="5" t="s">
        <v>16</v>
      </c>
      <c r="E8" s="5" t="s">
        <v>19</v>
      </c>
      <c r="F8" s="5" t="s">
        <v>20</v>
      </c>
      <c r="G8" s="5" t="s">
        <v>22</v>
      </c>
      <c r="H8" s="5" t="s">
        <v>23</v>
      </c>
      <c r="I8" s="5">
        <v>92</v>
      </c>
      <c r="J8" s="5" t="s">
        <v>24</v>
      </c>
    </row>
    <row r="9" spans="1:10" x14ac:dyDescent="0.2">
      <c r="A9" s="2">
        <v>45825</v>
      </c>
      <c r="B9" s="5" t="s">
        <v>12</v>
      </c>
      <c r="C9" s="5" t="s">
        <v>15</v>
      </c>
      <c r="D9" s="5" t="s">
        <v>17</v>
      </c>
      <c r="E9" s="5" t="s">
        <v>19</v>
      </c>
      <c r="F9" s="5" t="s">
        <v>19</v>
      </c>
      <c r="G9" s="5" t="s">
        <v>22</v>
      </c>
      <c r="H9" s="5" t="s">
        <v>22</v>
      </c>
      <c r="I9" s="5">
        <v>100</v>
      </c>
    </row>
    <row r="10" spans="1:10" x14ac:dyDescent="0.2">
      <c r="A10" s="2">
        <v>45826</v>
      </c>
      <c r="B10" s="5" t="s">
        <v>13</v>
      </c>
      <c r="C10" s="5" t="s">
        <v>15</v>
      </c>
      <c r="D10" s="5" t="s">
        <v>15</v>
      </c>
      <c r="E10" s="5" t="s">
        <v>19</v>
      </c>
      <c r="F10" s="5" t="s">
        <v>21</v>
      </c>
      <c r="G10" s="5" t="s">
        <v>23</v>
      </c>
      <c r="H10" s="5" t="s">
        <v>22</v>
      </c>
      <c r="I10" s="5">
        <v>85</v>
      </c>
      <c r="J10" s="5" t="s">
        <v>25</v>
      </c>
    </row>
    <row r="11" spans="1:10" x14ac:dyDescent="0.2">
      <c r="A11" s="2">
        <v>45827</v>
      </c>
      <c r="B11" s="5" t="s">
        <v>14</v>
      </c>
      <c r="C11" s="5" t="s">
        <v>15</v>
      </c>
      <c r="D11" s="5" t="s">
        <v>18</v>
      </c>
      <c r="E11" s="5" t="s">
        <v>19</v>
      </c>
      <c r="F11" s="5" t="s">
        <v>19</v>
      </c>
      <c r="G11" s="5" t="s">
        <v>22</v>
      </c>
      <c r="H11" s="5" t="s">
        <v>22</v>
      </c>
      <c r="I11" s="5">
        <v>90</v>
      </c>
      <c r="J11" s="5" t="s">
        <v>26</v>
      </c>
    </row>
    <row r="12" spans="1:10" x14ac:dyDescent="0.2">
      <c r="A12" s="2">
        <v>45818</v>
      </c>
      <c r="B12" s="5" t="s">
        <v>10</v>
      </c>
      <c r="C12" s="5" t="s">
        <v>15</v>
      </c>
      <c r="D12" s="5" t="s">
        <v>15</v>
      </c>
      <c r="E12" s="5" t="s">
        <v>19</v>
      </c>
      <c r="F12" s="5" t="s">
        <v>19</v>
      </c>
      <c r="G12" s="5" t="s">
        <v>22</v>
      </c>
      <c r="H12" s="5" t="s">
        <v>22</v>
      </c>
      <c r="I12" s="5">
        <v>98</v>
      </c>
    </row>
    <row r="13" spans="1:10" x14ac:dyDescent="0.2">
      <c r="A13" s="2">
        <v>45819</v>
      </c>
      <c r="B13" s="5" t="s">
        <v>11</v>
      </c>
      <c r="C13" s="5" t="s">
        <v>15</v>
      </c>
      <c r="D13" s="5" t="s">
        <v>16</v>
      </c>
      <c r="E13" s="5" t="s">
        <v>19</v>
      </c>
      <c r="F13" s="5" t="s">
        <v>20</v>
      </c>
      <c r="G13" s="5" t="s">
        <v>22</v>
      </c>
      <c r="H13" s="5" t="s">
        <v>23</v>
      </c>
      <c r="I13" s="5">
        <v>92</v>
      </c>
      <c r="J13" s="5" t="s">
        <v>24</v>
      </c>
    </row>
    <row r="14" spans="1:10" x14ac:dyDescent="0.2">
      <c r="A14" s="2">
        <v>45820</v>
      </c>
      <c r="B14" s="5" t="s">
        <v>12</v>
      </c>
      <c r="C14" s="5" t="s">
        <v>15</v>
      </c>
      <c r="D14" s="5" t="s">
        <v>17</v>
      </c>
      <c r="E14" s="5" t="s">
        <v>19</v>
      </c>
      <c r="F14" s="5" t="s">
        <v>19</v>
      </c>
      <c r="G14" s="5" t="s">
        <v>22</v>
      </c>
      <c r="H14" s="5" t="s">
        <v>22</v>
      </c>
      <c r="I14" s="5">
        <v>100</v>
      </c>
    </row>
    <row r="15" spans="1:10" x14ac:dyDescent="0.2">
      <c r="A15" s="2">
        <v>45821</v>
      </c>
      <c r="B15" s="5" t="s">
        <v>13</v>
      </c>
      <c r="C15" s="5" t="s">
        <v>15</v>
      </c>
      <c r="D15" s="5" t="s">
        <v>15</v>
      </c>
      <c r="E15" s="5" t="s">
        <v>19</v>
      </c>
      <c r="F15" s="5" t="s">
        <v>21</v>
      </c>
      <c r="G15" s="5" t="s">
        <v>23</v>
      </c>
      <c r="H15" s="5" t="s">
        <v>22</v>
      </c>
      <c r="I15" s="5">
        <v>85</v>
      </c>
      <c r="J15" s="5" t="s">
        <v>25</v>
      </c>
    </row>
    <row r="16" spans="1:10" x14ac:dyDescent="0.2">
      <c r="A16" s="2">
        <v>45822</v>
      </c>
      <c r="B16" s="5" t="s">
        <v>14</v>
      </c>
      <c r="C16" s="5" t="s">
        <v>15</v>
      </c>
      <c r="D16" s="5" t="s">
        <v>18</v>
      </c>
      <c r="E16" s="5" t="s">
        <v>19</v>
      </c>
      <c r="F16" s="5" t="s">
        <v>19</v>
      </c>
      <c r="G16" s="5" t="s">
        <v>22</v>
      </c>
      <c r="H16" s="5" t="s">
        <v>22</v>
      </c>
      <c r="I16" s="5">
        <v>90</v>
      </c>
      <c r="J16" s="5" t="s">
        <v>26</v>
      </c>
    </row>
    <row r="17" spans="1:10" x14ac:dyDescent="0.2">
      <c r="A17" s="2">
        <v>45823</v>
      </c>
      <c r="B17" s="5" t="s">
        <v>10</v>
      </c>
      <c r="C17" s="5" t="s">
        <v>15</v>
      </c>
      <c r="D17" s="5" t="s">
        <v>15</v>
      </c>
      <c r="E17" s="5" t="s">
        <v>19</v>
      </c>
      <c r="F17" s="5" t="s">
        <v>19</v>
      </c>
      <c r="G17" s="5" t="s">
        <v>22</v>
      </c>
      <c r="H17" s="5" t="s">
        <v>22</v>
      </c>
      <c r="I17" s="5">
        <v>98</v>
      </c>
    </row>
    <row r="18" spans="1:10" x14ac:dyDescent="0.2">
      <c r="A18" s="2">
        <v>45824</v>
      </c>
      <c r="B18" s="5" t="s">
        <v>11</v>
      </c>
      <c r="C18" s="5" t="s">
        <v>15</v>
      </c>
      <c r="D18" s="5" t="s">
        <v>16</v>
      </c>
      <c r="E18" s="5" t="s">
        <v>19</v>
      </c>
      <c r="F18" s="5" t="s">
        <v>20</v>
      </c>
      <c r="G18" s="5" t="s">
        <v>22</v>
      </c>
      <c r="H18" s="5" t="s">
        <v>23</v>
      </c>
      <c r="I18" s="5">
        <v>92</v>
      </c>
      <c r="J18" s="5" t="s">
        <v>24</v>
      </c>
    </row>
    <row r="19" spans="1:10" x14ac:dyDescent="0.2">
      <c r="A19" s="2">
        <v>45825</v>
      </c>
      <c r="B19" s="5" t="s">
        <v>12</v>
      </c>
      <c r="C19" s="5" t="s">
        <v>15</v>
      </c>
      <c r="D19" s="5" t="s">
        <v>17</v>
      </c>
      <c r="E19" s="5" t="s">
        <v>19</v>
      </c>
      <c r="F19" s="5" t="s">
        <v>19</v>
      </c>
      <c r="G19" s="5" t="s">
        <v>22</v>
      </c>
      <c r="H19" s="5" t="s">
        <v>22</v>
      </c>
      <c r="I19" s="5">
        <v>100</v>
      </c>
    </row>
    <row r="20" spans="1:10" x14ac:dyDescent="0.2">
      <c r="A20" s="2">
        <v>45826</v>
      </c>
      <c r="B20" s="5" t="s">
        <v>13</v>
      </c>
      <c r="C20" s="5" t="s">
        <v>15</v>
      </c>
      <c r="D20" s="5" t="s">
        <v>15</v>
      </c>
      <c r="E20" s="5" t="s">
        <v>19</v>
      </c>
      <c r="F20" s="5" t="s">
        <v>21</v>
      </c>
      <c r="G20" s="5" t="s">
        <v>23</v>
      </c>
      <c r="H20" s="5" t="s">
        <v>22</v>
      </c>
      <c r="I20" s="5">
        <v>85</v>
      </c>
      <c r="J20" s="5" t="s">
        <v>25</v>
      </c>
    </row>
    <row r="21" spans="1:10" x14ac:dyDescent="0.2">
      <c r="A21" s="2">
        <v>45827</v>
      </c>
      <c r="B21" s="5" t="s">
        <v>14</v>
      </c>
      <c r="C21" s="5" t="s">
        <v>15</v>
      </c>
      <c r="D21" s="5" t="s">
        <v>18</v>
      </c>
      <c r="E21" s="5" t="s">
        <v>19</v>
      </c>
      <c r="F21" s="5" t="s">
        <v>19</v>
      </c>
      <c r="G21" s="5" t="s">
        <v>22</v>
      </c>
      <c r="H21" s="5" t="s">
        <v>22</v>
      </c>
      <c r="I21" s="5">
        <v>90</v>
      </c>
      <c r="J21" s="5" t="s">
        <v>26</v>
      </c>
    </row>
    <row r="22" spans="1:10" x14ac:dyDescent="0.2">
      <c r="A22" s="2">
        <v>45818</v>
      </c>
      <c r="B22" s="5" t="s">
        <v>10</v>
      </c>
      <c r="C22" s="5" t="s">
        <v>15</v>
      </c>
      <c r="D22" s="5" t="s">
        <v>15</v>
      </c>
      <c r="E22" s="5" t="s">
        <v>19</v>
      </c>
      <c r="F22" s="5" t="s">
        <v>19</v>
      </c>
      <c r="G22" s="5" t="s">
        <v>22</v>
      </c>
      <c r="H22" s="5" t="s">
        <v>22</v>
      </c>
      <c r="I22" s="5">
        <v>98</v>
      </c>
    </row>
    <row r="23" spans="1:10" x14ac:dyDescent="0.2">
      <c r="A23" s="2">
        <v>45819</v>
      </c>
      <c r="B23" s="5" t="s">
        <v>11</v>
      </c>
      <c r="C23" s="5" t="s">
        <v>15</v>
      </c>
      <c r="D23" s="5" t="s">
        <v>16</v>
      </c>
      <c r="E23" s="5" t="s">
        <v>19</v>
      </c>
      <c r="F23" s="5" t="s">
        <v>20</v>
      </c>
      <c r="G23" s="5" t="s">
        <v>22</v>
      </c>
      <c r="H23" s="5" t="s">
        <v>23</v>
      </c>
      <c r="I23" s="5">
        <v>92</v>
      </c>
      <c r="J23" s="5" t="s">
        <v>24</v>
      </c>
    </row>
    <row r="24" spans="1:10" x14ac:dyDescent="0.2">
      <c r="A24" s="2">
        <v>45820</v>
      </c>
      <c r="B24" s="5" t="s">
        <v>12</v>
      </c>
      <c r="C24" s="5" t="s">
        <v>15</v>
      </c>
      <c r="D24" s="5" t="s">
        <v>17</v>
      </c>
      <c r="E24" s="5" t="s">
        <v>19</v>
      </c>
      <c r="F24" s="5" t="s">
        <v>19</v>
      </c>
      <c r="G24" s="5" t="s">
        <v>22</v>
      </c>
      <c r="H24" s="5" t="s">
        <v>22</v>
      </c>
      <c r="I24" s="5">
        <v>100</v>
      </c>
    </row>
    <row r="25" spans="1:10" x14ac:dyDescent="0.2">
      <c r="A25" s="2">
        <v>45821</v>
      </c>
      <c r="B25" s="5" t="s">
        <v>13</v>
      </c>
      <c r="C25" s="5" t="s">
        <v>15</v>
      </c>
      <c r="D25" s="5" t="s">
        <v>15</v>
      </c>
      <c r="E25" s="5" t="s">
        <v>19</v>
      </c>
      <c r="F25" s="5" t="s">
        <v>21</v>
      </c>
      <c r="G25" s="5" t="s">
        <v>23</v>
      </c>
      <c r="H25" s="5" t="s">
        <v>22</v>
      </c>
      <c r="I25" s="5">
        <v>85</v>
      </c>
      <c r="J25" s="5" t="s">
        <v>25</v>
      </c>
    </row>
    <row r="26" spans="1:10" x14ac:dyDescent="0.2">
      <c r="A26" s="2">
        <v>45822</v>
      </c>
      <c r="B26" s="5" t="s">
        <v>14</v>
      </c>
      <c r="C26" s="5" t="s">
        <v>15</v>
      </c>
      <c r="D26" s="5" t="s">
        <v>18</v>
      </c>
      <c r="E26" s="5" t="s">
        <v>19</v>
      </c>
      <c r="F26" s="5" t="s">
        <v>19</v>
      </c>
      <c r="G26" s="5" t="s">
        <v>22</v>
      </c>
      <c r="H26" s="5" t="s">
        <v>22</v>
      </c>
      <c r="I26" s="5">
        <v>90</v>
      </c>
      <c r="J26" s="5" t="s">
        <v>26</v>
      </c>
    </row>
    <row r="27" spans="1:10" x14ac:dyDescent="0.2">
      <c r="A27" s="2">
        <v>45823</v>
      </c>
      <c r="B27" s="5" t="s">
        <v>10</v>
      </c>
      <c r="C27" s="5" t="s">
        <v>15</v>
      </c>
      <c r="D27" s="5" t="s">
        <v>15</v>
      </c>
      <c r="E27" s="5" t="s">
        <v>19</v>
      </c>
      <c r="F27" s="5" t="s">
        <v>19</v>
      </c>
      <c r="G27" s="5" t="s">
        <v>22</v>
      </c>
      <c r="H27" s="5" t="s">
        <v>22</v>
      </c>
      <c r="I27" s="5">
        <v>98</v>
      </c>
    </row>
    <row r="28" spans="1:10" x14ac:dyDescent="0.2">
      <c r="A28" s="2">
        <v>45824</v>
      </c>
      <c r="B28" s="5" t="s">
        <v>11</v>
      </c>
      <c r="C28" s="5" t="s">
        <v>15</v>
      </c>
      <c r="D28" s="5" t="s">
        <v>16</v>
      </c>
      <c r="E28" s="5" t="s">
        <v>19</v>
      </c>
      <c r="F28" s="5" t="s">
        <v>20</v>
      </c>
      <c r="G28" s="5" t="s">
        <v>22</v>
      </c>
      <c r="H28" s="5" t="s">
        <v>23</v>
      </c>
      <c r="I28" s="5">
        <v>92</v>
      </c>
      <c r="J28" s="5" t="s">
        <v>24</v>
      </c>
    </row>
    <row r="29" spans="1:10" x14ac:dyDescent="0.2">
      <c r="A29" s="2">
        <v>45825</v>
      </c>
      <c r="B29" s="5" t="s">
        <v>12</v>
      </c>
      <c r="C29" s="5" t="s">
        <v>15</v>
      </c>
      <c r="D29" s="5" t="s">
        <v>17</v>
      </c>
      <c r="E29" s="5" t="s">
        <v>19</v>
      </c>
      <c r="F29" s="5" t="s">
        <v>19</v>
      </c>
      <c r="G29" s="5" t="s">
        <v>22</v>
      </c>
      <c r="H29" s="5" t="s">
        <v>22</v>
      </c>
      <c r="I29" s="5">
        <v>100</v>
      </c>
    </row>
    <row r="30" spans="1:10" x14ac:dyDescent="0.2">
      <c r="A30" s="2">
        <v>45826</v>
      </c>
      <c r="B30" s="5" t="s">
        <v>13</v>
      </c>
      <c r="C30" s="5" t="s">
        <v>15</v>
      </c>
      <c r="D30" s="5" t="s">
        <v>15</v>
      </c>
      <c r="E30" s="5" t="s">
        <v>19</v>
      </c>
      <c r="F30" s="5" t="s">
        <v>21</v>
      </c>
      <c r="G30" s="5" t="s">
        <v>23</v>
      </c>
      <c r="H30" s="5" t="s">
        <v>22</v>
      </c>
      <c r="I30" s="5">
        <v>85</v>
      </c>
      <c r="J30" s="5" t="s">
        <v>25</v>
      </c>
    </row>
    <row r="31" spans="1:10" x14ac:dyDescent="0.2">
      <c r="A31" s="2">
        <v>45827</v>
      </c>
      <c r="B31" s="5" t="s">
        <v>14</v>
      </c>
      <c r="C31" s="5" t="s">
        <v>15</v>
      </c>
      <c r="D31" s="5" t="s">
        <v>18</v>
      </c>
      <c r="E31" s="5" t="s">
        <v>19</v>
      </c>
      <c r="F31" s="5" t="s">
        <v>19</v>
      </c>
      <c r="G31" s="5" t="s">
        <v>22</v>
      </c>
      <c r="H31" s="5" t="s">
        <v>22</v>
      </c>
      <c r="I31" s="5">
        <v>90</v>
      </c>
      <c r="J31" s="5" t="s">
        <v>26</v>
      </c>
    </row>
    <row r="32" spans="1:10" x14ac:dyDescent="0.2">
      <c r="A32" s="2">
        <v>45818</v>
      </c>
      <c r="B32" s="5" t="s">
        <v>10</v>
      </c>
      <c r="C32" s="5" t="s">
        <v>15</v>
      </c>
      <c r="D32" s="5" t="s">
        <v>15</v>
      </c>
      <c r="E32" s="5" t="s">
        <v>19</v>
      </c>
      <c r="F32" s="5" t="s">
        <v>19</v>
      </c>
      <c r="G32" s="5" t="s">
        <v>22</v>
      </c>
      <c r="H32" s="5" t="s">
        <v>22</v>
      </c>
      <c r="I32" s="5">
        <v>98</v>
      </c>
    </row>
    <row r="33" spans="1:10" x14ac:dyDescent="0.2">
      <c r="A33" s="2">
        <v>45819</v>
      </c>
      <c r="B33" s="5" t="s">
        <v>11</v>
      </c>
      <c r="C33" s="5" t="s">
        <v>15</v>
      </c>
      <c r="D33" s="5" t="s">
        <v>16</v>
      </c>
      <c r="E33" s="5" t="s">
        <v>19</v>
      </c>
      <c r="F33" s="5" t="s">
        <v>20</v>
      </c>
      <c r="G33" s="5" t="s">
        <v>22</v>
      </c>
      <c r="H33" s="5" t="s">
        <v>23</v>
      </c>
      <c r="I33" s="5">
        <v>92</v>
      </c>
      <c r="J33" s="5" t="s">
        <v>24</v>
      </c>
    </row>
    <row r="34" spans="1:10" x14ac:dyDescent="0.2">
      <c r="A34" s="2">
        <v>45820</v>
      </c>
      <c r="B34" s="5" t="s">
        <v>12</v>
      </c>
      <c r="C34" s="5" t="s">
        <v>15</v>
      </c>
      <c r="D34" s="5" t="s">
        <v>17</v>
      </c>
      <c r="E34" s="5" t="s">
        <v>19</v>
      </c>
      <c r="F34" s="5" t="s">
        <v>19</v>
      </c>
      <c r="G34" s="5" t="s">
        <v>22</v>
      </c>
      <c r="H34" s="5" t="s">
        <v>22</v>
      </c>
      <c r="I34" s="5">
        <v>100</v>
      </c>
    </row>
    <row r="35" spans="1:10" x14ac:dyDescent="0.2">
      <c r="A35" s="2">
        <v>45821</v>
      </c>
      <c r="B35" s="5" t="s">
        <v>13</v>
      </c>
      <c r="C35" s="5" t="s">
        <v>15</v>
      </c>
      <c r="D35" s="5" t="s">
        <v>15</v>
      </c>
      <c r="E35" s="5" t="s">
        <v>19</v>
      </c>
      <c r="F35" s="5" t="s">
        <v>21</v>
      </c>
      <c r="G35" s="5" t="s">
        <v>23</v>
      </c>
      <c r="H35" s="5" t="s">
        <v>22</v>
      </c>
      <c r="I35" s="5">
        <v>85</v>
      </c>
      <c r="J35" s="5" t="s">
        <v>25</v>
      </c>
    </row>
    <row r="36" spans="1:10" x14ac:dyDescent="0.2">
      <c r="A36" s="2">
        <v>45822</v>
      </c>
      <c r="B36" s="5" t="s">
        <v>14</v>
      </c>
      <c r="C36" s="5" t="s">
        <v>15</v>
      </c>
      <c r="D36" s="5" t="s">
        <v>18</v>
      </c>
      <c r="E36" s="5" t="s">
        <v>19</v>
      </c>
      <c r="F36" s="5" t="s">
        <v>19</v>
      </c>
      <c r="G36" s="5" t="s">
        <v>22</v>
      </c>
      <c r="H36" s="5" t="s">
        <v>22</v>
      </c>
      <c r="I36" s="5">
        <v>90</v>
      </c>
      <c r="J36" s="5" t="s">
        <v>26</v>
      </c>
    </row>
    <row r="37" spans="1:10" x14ac:dyDescent="0.2">
      <c r="A37" s="2">
        <v>45823</v>
      </c>
      <c r="B37" s="5" t="s">
        <v>10</v>
      </c>
      <c r="C37" s="5" t="s">
        <v>15</v>
      </c>
      <c r="D37" s="5" t="s">
        <v>15</v>
      </c>
      <c r="E37" s="5" t="s">
        <v>19</v>
      </c>
      <c r="F37" s="5" t="s">
        <v>19</v>
      </c>
      <c r="G37" s="5" t="s">
        <v>22</v>
      </c>
      <c r="H37" s="5" t="s">
        <v>22</v>
      </c>
      <c r="I37" s="5">
        <v>98</v>
      </c>
    </row>
    <row r="38" spans="1:10" x14ac:dyDescent="0.2">
      <c r="A38" s="2">
        <v>45824</v>
      </c>
      <c r="B38" s="5" t="s">
        <v>11</v>
      </c>
      <c r="C38" s="5" t="s">
        <v>15</v>
      </c>
      <c r="D38" s="5" t="s">
        <v>16</v>
      </c>
      <c r="E38" s="5" t="s">
        <v>19</v>
      </c>
      <c r="F38" s="5" t="s">
        <v>20</v>
      </c>
      <c r="G38" s="5" t="s">
        <v>22</v>
      </c>
      <c r="H38" s="5" t="s">
        <v>23</v>
      </c>
      <c r="I38" s="5">
        <v>92</v>
      </c>
      <c r="J38" s="5" t="s">
        <v>24</v>
      </c>
    </row>
    <row r="39" spans="1:10" x14ac:dyDescent="0.2">
      <c r="A39" s="2">
        <v>45825</v>
      </c>
      <c r="B39" s="5" t="s">
        <v>12</v>
      </c>
      <c r="C39" s="5" t="s">
        <v>15</v>
      </c>
      <c r="D39" s="5" t="s">
        <v>17</v>
      </c>
      <c r="E39" s="5" t="s">
        <v>19</v>
      </c>
      <c r="F39" s="5" t="s">
        <v>19</v>
      </c>
      <c r="G39" s="5" t="s">
        <v>22</v>
      </c>
      <c r="H39" s="5" t="s">
        <v>22</v>
      </c>
      <c r="I39" s="5">
        <v>100</v>
      </c>
    </row>
    <row r="40" spans="1:10" x14ac:dyDescent="0.2">
      <c r="A40" s="2">
        <v>45826</v>
      </c>
      <c r="B40" s="5" t="s">
        <v>13</v>
      </c>
      <c r="C40" s="5" t="s">
        <v>15</v>
      </c>
      <c r="D40" s="5" t="s">
        <v>15</v>
      </c>
      <c r="E40" s="5" t="s">
        <v>19</v>
      </c>
      <c r="F40" s="5" t="s">
        <v>21</v>
      </c>
      <c r="G40" s="5" t="s">
        <v>23</v>
      </c>
      <c r="H40" s="5" t="s">
        <v>22</v>
      </c>
      <c r="I40" s="5">
        <v>85</v>
      </c>
      <c r="J40" s="5" t="s">
        <v>25</v>
      </c>
    </row>
    <row r="41" spans="1:10" x14ac:dyDescent="0.2">
      <c r="A41" s="2">
        <v>45827</v>
      </c>
      <c r="B41" s="5" t="s">
        <v>14</v>
      </c>
      <c r="C41" s="5" t="s">
        <v>15</v>
      </c>
      <c r="D41" s="5" t="s">
        <v>18</v>
      </c>
      <c r="E41" s="5" t="s">
        <v>19</v>
      </c>
      <c r="F41" s="5" t="s">
        <v>19</v>
      </c>
      <c r="G41" s="5" t="s">
        <v>22</v>
      </c>
      <c r="H41" s="5" t="s">
        <v>22</v>
      </c>
      <c r="I41" s="5">
        <v>90</v>
      </c>
      <c r="J41" s="5" t="s">
        <v>26</v>
      </c>
    </row>
    <row r="42" spans="1:10" x14ac:dyDescent="0.2">
      <c r="A42" s="2">
        <v>45818</v>
      </c>
      <c r="B42" s="5" t="s">
        <v>10</v>
      </c>
      <c r="C42" s="5" t="s">
        <v>15</v>
      </c>
      <c r="D42" s="5" t="s">
        <v>15</v>
      </c>
      <c r="E42" s="5" t="s">
        <v>19</v>
      </c>
      <c r="F42" s="5" t="s">
        <v>19</v>
      </c>
      <c r="G42" s="5" t="s">
        <v>22</v>
      </c>
      <c r="H42" s="5" t="s">
        <v>22</v>
      </c>
      <c r="I42" s="5">
        <v>98</v>
      </c>
    </row>
    <row r="43" spans="1:10" x14ac:dyDescent="0.2">
      <c r="A43" s="2">
        <v>45819</v>
      </c>
      <c r="B43" s="5" t="s">
        <v>11</v>
      </c>
      <c r="C43" s="5" t="s">
        <v>15</v>
      </c>
      <c r="D43" s="5" t="s">
        <v>16</v>
      </c>
      <c r="E43" s="5" t="s">
        <v>19</v>
      </c>
      <c r="F43" s="5" t="s">
        <v>20</v>
      </c>
      <c r="G43" s="5" t="s">
        <v>22</v>
      </c>
      <c r="H43" s="5" t="s">
        <v>23</v>
      </c>
      <c r="I43" s="5">
        <v>92</v>
      </c>
      <c r="J43" s="5" t="s">
        <v>24</v>
      </c>
    </row>
    <row r="44" spans="1:10" x14ac:dyDescent="0.2">
      <c r="A44" s="2">
        <v>45820</v>
      </c>
      <c r="B44" s="5" t="s">
        <v>12</v>
      </c>
      <c r="C44" s="5" t="s">
        <v>15</v>
      </c>
      <c r="D44" s="5" t="s">
        <v>17</v>
      </c>
      <c r="E44" s="5" t="s">
        <v>19</v>
      </c>
      <c r="F44" s="5" t="s">
        <v>19</v>
      </c>
      <c r="G44" s="5" t="s">
        <v>22</v>
      </c>
      <c r="H44" s="5" t="s">
        <v>22</v>
      </c>
      <c r="I44" s="5">
        <v>100</v>
      </c>
    </row>
    <row r="45" spans="1:10" x14ac:dyDescent="0.2">
      <c r="A45" s="2">
        <v>45821</v>
      </c>
      <c r="B45" s="5" t="s">
        <v>13</v>
      </c>
      <c r="C45" s="5" t="s">
        <v>15</v>
      </c>
      <c r="D45" s="5" t="s">
        <v>15</v>
      </c>
      <c r="E45" s="5" t="s">
        <v>19</v>
      </c>
      <c r="F45" s="5" t="s">
        <v>21</v>
      </c>
      <c r="G45" s="5" t="s">
        <v>23</v>
      </c>
      <c r="H45" s="5" t="s">
        <v>22</v>
      </c>
      <c r="I45" s="5">
        <v>85</v>
      </c>
      <c r="J45" s="5" t="s">
        <v>25</v>
      </c>
    </row>
    <row r="46" spans="1:10" x14ac:dyDescent="0.2">
      <c r="A46" s="2">
        <v>45822</v>
      </c>
      <c r="B46" s="5" t="s">
        <v>14</v>
      </c>
      <c r="C46" s="5" t="s">
        <v>15</v>
      </c>
      <c r="D46" s="5" t="s">
        <v>18</v>
      </c>
      <c r="E46" s="5" t="s">
        <v>19</v>
      </c>
      <c r="F46" s="5" t="s">
        <v>19</v>
      </c>
      <c r="G46" s="5" t="s">
        <v>22</v>
      </c>
      <c r="H46" s="5" t="s">
        <v>22</v>
      </c>
      <c r="I46" s="5">
        <v>90</v>
      </c>
      <c r="J46" s="5" t="s">
        <v>26</v>
      </c>
    </row>
    <row r="47" spans="1:10" x14ac:dyDescent="0.2">
      <c r="A47" s="2">
        <v>45823</v>
      </c>
      <c r="B47" s="5" t="s">
        <v>10</v>
      </c>
      <c r="C47" s="5" t="s">
        <v>15</v>
      </c>
      <c r="D47" s="5" t="s">
        <v>15</v>
      </c>
      <c r="E47" s="5" t="s">
        <v>19</v>
      </c>
      <c r="F47" s="5" t="s">
        <v>19</v>
      </c>
      <c r="G47" s="5" t="s">
        <v>22</v>
      </c>
      <c r="H47" s="5" t="s">
        <v>22</v>
      </c>
      <c r="I47" s="5">
        <v>98</v>
      </c>
    </row>
    <row r="48" spans="1:10" x14ac:dyDescent="0.2">
      <c r="A48" s="2">
        <v>45824</v>
      </c>
      <c r="B48" s="5" t="s">
        <v>11</v>
      </c>
      <c r="C48" s="5" t="s">
        <v>15</v>
      </c>
      <c r="D48" s="5" t="s">
        <v>16</v>
      </c>
      <c r="E48" s="5" t="s">
        <v>19</v>
      </c>
      <c r="F48" s="5" t="s">
        <v>20</v>
      </c>
      <c r="G48" s="5" t="s">
        <v>22</v>
      </c>
      <c r="H48" s="5" t="s">
        <v>23</v>
      </c>
      <c r="I48" s="5">
        <v>92</v>
      </c>
      <c r="J48" s="5" t="s">
        <v>24</v>
      </c>
    </row>
    <row r="49" spans="1:10" x14ac:dyDescent="0.2">
      <c r="A49" s="2">
        <v>45825</v>
      </c>
      <c r="B49" s="5" t="s">
        <v>12</v>
      </c>
      <c r="C49" s="5" t="s">
        <v>15</v>
      </c>
      <c r="D49" s="5" t="s">
        <v>17</v>
      </c>
      <c r="E49" s="5" t="s">
        <v>19</v>
      </c>
      <c r="F49" s="5" t="s">
        <v>19</v>
      </c>
      <c r="G49" s="5" t="s">
        <v>22</v>
      </c>
      <c r="H49" s="5" t="s">
        <v>22</v>
      </c>
      <c r="I49" s="5">
        <v>100</v>
      </c>
    </row>
    <row r="50" spans="1:10" x14ac:dyDescent="0.2">
      <c r="A50" s="2">
        <v>45826</v>
      </c>
      <c r="B50" s="5" t="s">
        <v>13</v>
      </c>
      <c r="C50" s="5" t="s">
        <v>15</v>
      </c>
      <c r="D50" s="5" t="s">
        <v>15</v>
      </c>
      <c r="E50" s="5" t="s">
        <v>19</v>
      </c>
      <c r="F50" s="5" t="s">
        <v>21</v>
      </c>
      <c r="G50" s="5" t="s">
        <v>23</v>
      </c>
      <c r="H50" s="5" t="s">
        <v>22</v>
      </c>
      <c r="I50" s="5">
        <v>85</v>
      </c>
      <c r="J50" s="5" t="s">
        <v>25</v>
      </c>
    </row>
    <row r="51" spans="1:10" x14ac:dyDescent="0.2">
      <c r="A51" s="2">
        <v>45827</v>
      </c>
      <c r="B51" s="5" t="s">
        <v>14</v>
      </c>
      <c r="C51" s="5" t="s">
        <v>15</v>
      </c>
      <c r="D51" s="5" t="s">
        <v>18</v>
      </c>
      <c r="E51" s="5" t="s">
        <v>19</v>
      </c>
      <c r="F51" s="5" t="s">
        <v>19</v>
      </c>
      <c r="G51" s="5" t="s">
        <v>22</v>
      </c>
      <c r="H51" s="5" t="s">
        <v>22</v>
      </c>
      <c r="I51" s="5">
        <v>90</v>
      </c>
      <c r="J51" s="5" t="s">
        <v>26</v>
      </c>
    </row>
  </sheetData>
  <conditionalFormatting sqref="I2:I51">
    <cfRule type="cellIs" dxfId="1" priority="1" operator="greaterThan">
      <formula>95</formula>
    </cfRule>
    <cfRule type="cellIs" dxfId="0" priority="2" operator="lessThan">
      <formula>95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71919-7E1C-2342-A893-57111E6B5058}">
  <sheetPr codeName="Sheet2"/>
  <dimension ref="A1:C7"/>
  <sheetViews>
    <sheetView workbookViewId="0">
      <selection activeCell="B4" sqref="B4"/>
    </sheetView>
  </sheetViews>
  <sheetFormatPr baseColWidth="10" defaultRowHeight="15" x14ac:dyDescent="0.2"/>
  <cols>
    <col min="1" max="1" width="12.1640625" bestFit="1" customWidth="1"/>
    <col min="2" max="2" width="20.1640625" bestFit="1" customWidth="1"/>
    <col min="3" max="3" width="16.5" bestFit="1" customWidth="1"/>
  </cols>
  <sheetData>
    <row r="1" spans="1:3" x14ac:dyDescent="0.2">
      <c r="A1" s="6" t="s">
        <v>57</v>
      </c>
      <c r="B1" t="s">
        <v>60</v>
      </c>
      <c r="C1" t="s">
        <v>61</v>
      </c>
    </row>
    <row r="2" spans="1:3" x14ac:dyDescent="0.2">
      <c r="A2" s="7" t="s">
        <v>10</v>
      </c>
      <c r="B2" s="8">
        <v>98</v>
      </c>
      <c r="C2" s="8"/>
    </row>
    <row r="3" spans="1:3" x14ac:dyDescent="0.2">
      <c r="A3" s="7" t="s">
        <v>11</v>
      </c>
      <c r="B3" s="8">
        <v>92</v>
      </c>
      <c r="C3" s="8">
        <v>10</v>
      </c>
    </row>
    <row r="4" spans="1:3" x14ac:dyDescent="0.2">
      <c r="A4" s="7" t="s">
        <v>12</v>
      </c>
      <c r="B4" s="8">
        <v>100</v>
      </c>
      <c r="C4" s="8"/>
    </row>
    <row r="5" spans="1:3" x14ac:dyDescent="0.2">
      <c r="A5" s="7" t="s">
        <v>13</v>
      </c>
      <c r="B5" s="8">
        <v>85</v>
      </c>
      <c r="C5" s="8">
        <v>10</v>
      </c>
    </row>
    <row r="6" spans="1:3" x14ac:dyDescent="0.2">
      <c r="A6" s="7" t="s">
        <v>14</v>
      </c>
      <c r="B6" s="8">
        <v>90</v>
      </c>
      <c r="C6" s="8">
        <v>10</v>
      </c>
    </row>
    <row r="7" spans="1:3" x14ac:dyDescent="0.2">
      <c r="A7" s="7" t="s">
        <v>59</v>
      </c>
      <c r="B7" s="8">
        <v>93</v>
      </c>
      <c r="C7" s="8">
        <v>30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32"/>
  <sheetViews>
    <sheetView workbookViewId="0">
      <selection activeCell="G24" sqref="A1:XFD1048576"/>
    </sheetView>
  </sheetViews>
  <sheetFormatPr baseColWidth="10" defaultColWidth="8.83203125" defaultRowHeight="15" x14ac:dyDescent="0.2"/>
  <cols>
    <col min="1" max="1" width="18.33203125" style="5" customWidth="1"/>
    <col min="2" max="2" width="20.1640625" style="5" customWidth="1"/>
    <col min="3" max="3" width="19.5" style="5" customWidth="1"/>
    <col min="4" max="4" width="16.33203125" style="5" customWidth="1"/>
    <col min="5" max="5" width="19.83203125" style="5" customWidth="1"/>
    <col min="6" max="6" width="19" style="14" customWidth="1"/>
    <col min="7" max="7" width="20" style="5" bestFit="1" customWidth="1"/>
    <col min="8" max="9" width="20" bestFit="1" customWidth="1"/>
  </cols>
  <sheetData>
    <row r="1" spans="1:7" x14ac:dyDescent="0.2">
      <c r="A1" s="3" t="s">
        <v>0</v>
      </c>
      <c r="B1" s="3" t="s">
        <v>1</v>
      </c>
      <c r="C1" s="3" t="s">
        <v>27</v>
      </c>
      <c r="D1" s="3" t="s">
        <v>28</v>
      </c>
      <c r="E1" s="3" t="s">
        <v>29</v>
      </c>
      <c r="F1" s="13" t="s">
        <v>30</v>
      </c>
      <c r="G1" s="3" t="s">
        <v>31</v>
      </c>
    </row>
    <row r="2" spans="1:7" x14ac:dyDescent="0.2">
      <c r="A2" s="9">
        <v>45818</v>
      </c>
      <c r="B2" s="5" t="s">
        <v>10</v>
      </c>
      <c r="C2" s="5" t="s">
        <v>32</v>
      </c>
      <c r="D2" s="5" t="s">
        <v>36</v>
      </c>
      <c r="E2" s="5" t="s">
        <v>37</v>
      </c>
      <c r="F2" s="14">
        <f>(E2 - D2) * 1440</f>
        <v>29.999999999999972</v>
      </c>
      <c r="G2" s="5" t="s">
        <v>38</v>
      </c>
    </row>
    <row r="3" spans="1:7" x14ac:dyDescent="0.2">
      <c r="A3" s="9">
        <v>45819</v>
      </c>
      <c r="B3" s="5" t="s">
        <v>11</v>
      </c>
      <c r="C3" s="5" t="s">
        <v>33</v>
      </c>
      <c r="D3" s="5" t="s">
        <v>36</v>
      </c>
      <c r="E3" s="10">
        <v>0.42708333333333331</v>
      </c>
      <c r="F3" s="14">
        <f t="shared" ref="F3:F11" si="0">(E3 - D3) * 1440</f>
        <v>14.999999999999947</v>
      </c>
      <c r="G3" s="5" t="s">
        <v>39</v>
      </c>
    </row>
    <row r="4" spans="1:7" x14ac:dyDescent="0.2">
      <c r="A4" s="9">
        <v>45820</v>
      </c>
      <c r="B4" s="5" t="s">
        <v>12</v>
      </c>
      <c r="C4" s="5" t="s">
        <v>34</v>
      </c>
      <c r="D4" s="5" t="s">
        <v>36</v>
      </c>
      <c r="E4" s="10">
        <v>0.44791666666666669</v>
      </c>
      <c r="F4" s="14">
        <f t="shared" si="0"/>
        <v>45</v>
      </c>
      <c r="G4" s="5" t="s">
        <v>40</v>
      </c>
    </row>
    <row r="5" spans="1:7" x14ac:dyDescent="0.2">
      <c r="A5" s="9">
        <v>45821</v>
      </c>
      <c r="B5" s="5" t="s">
        <v>13</v>
      </c>
      <c r="C5" s="5" t="s">
        <v>32</v>
      </c>
      <c r="D5" s="5" t="s">
        <v>36</v>
      </c>
      <c r="E5" s="10">
        <v>0.43055555555555558</v>
      </c>
      <c r="F5" s="14">
        <f t="shared" si="0"/>
        <v>20.000000000000007</v>
      </c>
      <c r="G5" s="5" t="s">
        <v>41</v>
      </c>
    </row>
    <row r="6" spans="1:7" x14ac:dyDescent="0.2">
      <c r="A6" s="9">
        <v>45822</v>
      </c>
      <c r="B6" s="5" t="s">
        <v>14</v>
      </c>
      <c r="C6" s="5" t="s">
        <v>35</v>
      </c>
      <c r="D6" s="5" t="s">
        <v>36</v>
      </c>
      <c r="E6" s="10">
        <v>0.4826388888888889</v>
      </c>
      <c r="F6" s="14">
        <f t="shared" si="0"/>
        <v>94.999999999999986</v>
      </c>
      <c r="G6" s="5" t="s">
        <v>42</v>
      </c>
    </row>
    <row r="7" spans="1:7" x14ac:dyDescent="0.2">
      <c r="A7" s="9">
        <v>45823</v>
      </c>
      <c r="B7" s="5" t="s">
        <v>10</v>
      </c>
      <c r="C7" s="5" t="s">
        <v>32</v>
      </c>
      <c r="D7" s="5" t="s">
        <v>36</v>
      </c>
      <c r="E7" s="10">
        <v>0.47222222222222221</v>
      </c>
      <c r="F7" s="14">
        <f t="shared" si="0"/>
        <v>79.999999999999957</v>
      </c>
      <c r="G7" s="5" t="s">
        <v>38</v>
      </c>
    </row>
    <row r="8" spans="1:7" x14ac:dyDescent="0.2">
      <c r="A8" s="9">
        <v>45824</v>
      </c>
      <c r="B8" s="5" t="s">
        <v>11</v>
      </c>
      <c r="C8" s="5" t="s">
        <v>33</v>
      </c>
      <c r="D8" s="5" t="s">
        <v>36</v>
      </c>
      <c r="E8" s="10">
        <v>0.4236111111111111</v>
      </c>
      <c r="F8" s="14">
        <f t="shared" si="0"/>
        <v>9.9999999999999645</v>
      </c>
      <c r="G8" s="5" t="s">
        <v>39</v>
      </c>
    </row>
    <row r="9" spans="1:7" x14ac:dyDescent="0.2">
      <c r="A9" s="9">
        <v>45825</v>
      </c>
      <c r="B9" s="5" t="s">
        <v>12</v>
      </c>
      <c r="C9" s="5" t="s">
        <v>34</v>
      </c>
      <c r="D9" s="5" t="s">
        <v>36</v>
      </c>
      <c r="E9" s="10">
        <v>0.43402777777777779</v>
      </c>
      <c r="F9" s="14">
        <f t="shared" si="0"/>
        <v>24.999999999999993</v>
      </c>
      <c r="G9" s="5" t="s">
        <v>40</v>
      </c>
    </row>
    <row r="10" spans="1:7" x14ac:dyDescent="0.2">
      <c r="A10" s="9">
        <v>45826</v>
      </c>
      <c r="B10" s="5" t="s">
        <v>13</v>
      </c>
      <c r="C10" s="5" t="s">
        <v>32</v>
      </c>
      <c r="D10" s="5" t="s">
        <v>36</v>
      </c>
      <c r="E10" s="10">
        <v>0.4201388888888889</v>
      </c>
      <c r="F10" s="14">
        <f t="shared" si="0"/>
        <v>4.9999999999999822</v>
      </c>
      <c r="G10" s="5" t="s">
        <v>41</v>
      </c>
    </row>
    <row r="11" spans="1:7" x14ac:dyDescent="0.2">
      <c r="A11" s="9">
        <v>45827</v>
      </c>
      <c r="B11" s="5" t="s">
        <v>14</v>
      </c>
      <c r="C11" s="5" t="s">
        <v>35</v>
      </c>
      <c r="D11" s="5" t="s">
        <v>36</v>
      </c>
      <c r="E11" s="10">
        <v>0.44097222222222221</v>
      </c>
      <c r="F11" s="14">
        <f t="shared" si="0"/>
        <v>34.999999999999957</v>
      </c>
      <c r="G11" s="5" t="s">
        <v>42</v>
      </c>
    </row>
    <row r="15" spans="1:7" x14ac:dyDescent="0.2">
      <c r="F15" s="15"/>
      <c r="G15"/>
    </row>
    <row r="16" spans="1:7" x14ac:dyDescent="0.2">
      <c r="F16" s="15"/>
      <c r="G16"/>
    </row>
    <row r="17" spans="6:7" x14ac:dyDescent="0.2">
      <c r="F17" s="15"/>
      <c r="G17"/>
    </row>
    <row r="18" spans="6:7" x14ac:dyDescent="0.2">
      <c r="F18" s="15"/>
      <c r="G18"/>
    </row>
    <row r="19" spans="6:7" x14ac:dyDescent="0.2">
      <c r="F19" s="15"/>
      <c r="G19"/>
    </row>
    <row r="20" spans="6:7" x14ac:dyDescent="0.2">
      <c r="F20" s="15"/>
      <c r="G20"/>
    </row>
    <row r="21" spans="6:7" x14ac:dyDescent="0.2">
      <c r="F21" s="15"/>
      <c r="G21"/>
    </row>
    <row r="22" spans="6:7" x14ac:dyDescent="0.2">
      <c r="F22" s="15"/>
      <c r="G22"/>
    </row>
    <row r="23" spans="6:7" x14ac:dyDescent="0.2">
      <c r="F23" s="15"/>
      <c r="G23"/>
    </row>
    <row r="24" spans="6:7" x14ac:dyDescent="0.2">
      <c r="F24" s="15"/>
      <c r="G24"/>
    </row>
    <row r="25" spans="6:7" x14ac:dyDescent="0.2">
      <c r="F25" s="15"/>
      <c r="G25"/>
    </row>
    <row r="26" spans="6:7" x14ac:dyDescent="0.2">
      <c r="F26" s="15"/>
      <c r="G26"/>
    </row>
    <row r="27" spans="6:7" x14ac:dyDescent="0.2">
      <c r="F27" s="15"/>
      <c r="G27"/>
    </row>
    <row r="28" spans="6:7" x14ac:dyDescent="0.2">
      <c r="F28" s="15"/>
      <c r="G28"/>
    </row>
    <row r="29" spans="6:7" x14ac:dyDescent="0.2">
      <c r="F29" s="15"/>
      <c r="G29"/>
    </row>
    <row r="30" spans="6:7" x14ac:dyDescent="0.2">
      <c r="F30" s="15"/>
      <c r="G30"/>
    </row>
    <row r="31" spans="6:7" x14ac:dyDescent="0.2">
      <c r="F31" s="15"/>
      <c r="G31"/>
    </row>
    <row r="32" spans="6:7" x14ac:dyDescent="0.2">
      <c r="F32" s="15"/>
      <c r="G32"/>
    </row>
  </sheetData>
  <dataValidations count="1">
    <dataValidation type="list" allowBlank="1" showInputMessage="1" showErrorMessage="1" sqref="C2:C11" xr:uid="{1C32BF4B-E2C1-1648-837A-AE1EC639DE24}">
      <formula1>"Internet,Power,Hardware,System"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C6C1A-105A-3B46-A374-88A9C3023FA1}">
  <sheetPr codeName="Sheet4"/>
  <dimension ref="A1:B13"/>
  <sheetViews>
    <sheetView tabSelected="1" workbookViewId="0">
      <selection activeCell="H57" sqref="H57"/>
    </sheetView>
  </sheetViews>
  <sheetFormatPr baseColWidth="10" defaultRowHeight="15" x14ac:dyDescent="0.2"/>
  <cols>
    <col min="1" max="1" width="12.1640625" bestFit="1" customWidth="1"/>
    <col min="2" max="2" width="18.6640625" bestFit="1" customWidth="1"/>
  </cols>
  <sheetData>
    <row r="1" spans="1:2" x14ac:dyDescent="0.2">
      <c r="A1" s="6" t="s">
        <v>57</v>
      </c>
      <c r="B1" t="s">
        <v>62</v>
      </c>
    </row>
    <row r="2" spans="1:2" x14ac:dyDescent="0.2">
      <c r="A2" s="7" t="s">
        <v>35</v>
      </c>
      <c r="B2" s="8">
        <v>129.99999999999994</v>
      </c>
    </row>
    <row r="3" spans="1:2" x14ac:dyDescent="0.2">
      <c r="A3" s="16" t="s">
        <v>14</v>
      </c>
      <c r="B3" s="8">
        <v>129.99999999999994</v>
      </c>
    </row>
    <row r="4" spans="1:2" x14ac:dyDescent="0.2">
      <c r="A4" s="7" t="s">
        <v>32</v>
      </c>
      <c r="B4" s="8">
        <v>134.99999999999991</v>
      </c>
    </row>
    <row r="5" spans="1:2" x14ac:dyDescent="0.2">
      <c r="A5" s="16" t="s">
        <v>10</v>
      </c>
      <c r="B5" s="8">
        <v>109.99999999999993</v>
      </c>
    </row>
    <row r="6" spans="1:2" x14ac:dyDescent="0.2">
      <c r="A6" s="16" t="s">
        <v>13</v>
      </c>
      <c r="B6" s="8">
        <v>24.999999999999989</v>
      </c>
    </row>
    <row r="7" spans="1:2" x14ac:dyDescent="0.2">
      <c r="A7" s="7" t="s">
        <v>33</v>
      </c>
      <c r="B7" s="8">
        <v>24.999999999999911</v>
      </c>
    </row>
    <row r="8" spans="1:2" x14ac:dyDescent="0.2">
      <c r="A8" s="16" t="s">
        <v>11</v>
      </c>
      <c r="B8" s="8">
        <v>24.999999999999911</v>
      </c>
    </row>
    <row r="9" spans="1:2" x14ac:dyDescent="0.2">
      <c r="A9" s="7" t="s">
        <v>34</v>
      </c>
      <c r="B9" s="8">
        <v>70</v>
      </c>
    </row>
    <row r="10" spans="1:2" x14ac:dyDescent="0.2">
      <c r="A10" s="16" t="s">
        <v>12</v>
      </c>
      <c r="B10" s="8">
        <v>70</v>
      </c>
    </row>
    <row r="11" spans="1:2" x14ac:dyDescent="0.2">
      <c r="A11" s="7" t="s">
        <v>58</v>
      </c>
      <c r="B11" s="8"/>
    </row>
    <row r="12" spans="1:2" x14ac:dyDescent="0.2">
      <c r="A12" s="16" t="s">
        <v>58</v>
      </c>
      <c r="B12" s="8"/>
    </row>
    <row r="13" spans="1:2" x14ac:dyDescent="0.2">
      <c r="A13" s="7" t="s">
        <v>59</v>
      </c>
      <c r="B13" s="8">
        <v>359.99999999999977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37"/>
  <sheetViews>
    <sheetView workbookViewId="0">
      <selection activeCell="O22" sqref="O22"/>
    </sheetView>
  </sheetViews>
  <sheetFormatPr baseColWidth="10" defaultColWidth="8.83203125" defaultRowHeight="15" x14ac:dyDescent="0.2"/>
  <cols>
    <col min="1" max="1" width="17.33203125" customWidth="1"/>
    <col min="2" max="2" width="21" customWidth="1"/>
    <col min="3" max="3" width="23.83203125" style="12" customWidth="1"/>
  </cols>
  <sheetData>
    <row r="1" spans="1:3" x14ac:dyDescent="0.2">
      <c r="A1" s="1" t="s">
        <v>43</v>
      </c>
      <c r="B1" s="1" t="s">
        <v>44</v>
      </c>
      <c r="C1" s="11" t="s">
        <v>63</v>
      </c>
    </row>
    <row r="2" spans="1:3" x14ac:dyDescent="0.2">
      <c r="A2">
        <v>1</v>
      </c>
      <c r="B2">
        <v>100</v>
      </c>
    </row>
    <row r="3" spans="1:3" x14ac:dyDescent="0.2">
      <c r="A3">
        <v>2</v>
      </c>
      <c r="B3">
        <v>112</v>
      </c>
    </row>
    <row r="4" spans="1:3" x14ac:dyDescent="0.2">
      <c r="A4">
        <v>3</v>
      </c>
      <c r="B4">
        <v>124</v>
      </c>
    </row>
    <row r="5" spans="1:3" x14ac:dyDescent="0.2">
      <c r="A5">
        <v>4</v>
      </c>
      <c r="B5">
        <v>136</v>
      </c>
    </row>
    <row r="6" spans="1:3" x14ac:dyDescent="0.2">
      <c r="A6">
        <v>5</v>
      </c>
      <c r="B6">
        <v>148</v>
      </c>
    </row>
    <row r="7" spans="1:3" x14ac:dyDescent="0.2">
      <c r="A7">
        <v>6</v>
      </c>
      <c r="B7">
        <v>110</v>
      </c>
    </row>
    <row r="8" spans="1:3" x14ac:dyDescent="0.2">
      <c r="A8">
        <v>7</v>
      </c>
      <c r="B8">
        <v>122</v>
      </c>
    </row>
    <row r="9" spans="1:3" x14ac:dyDescent="0.2">
      <c r="A9">
        <v>8</v>
      </c>
      <c r="B9">
        <v>134</v>
      </c>
    </row>
    <row r="10" spans="1:3" x14ac:dyDescent="0.2">
      <c r="A10">
        <v>9</v>
      </c>
      <c r="B10">
        <v>146</v>
      </c>
    </row>
    <row r="11" spans="1:3" x14ac:dyDescent="0.2">
      <c r="A11">
        <v>10</v>
      </c>
      <c r="B11">
        <v>158</v>
      </c>
    </row>
    <row r="12" spans="1:3" x14ac:dyDescent="0.2">
      <c r="A12">
        <v>11</v>
      </c>
      <c r="B12">
        <v>120</v>
      </c>
    </row>
    <row r="13" spans="1:3" x14ac:dyDescent="0.2">
      <c r="A13">
        <v>12</v>
      </c>
      <c r="B13">
        <v>132</v>
      </c>
    </row>
    <row r="14" spans="1:3" x14ac:dyDescent="0.2">
      <c r="A14">
        <v>13</v>
      </c>
      <c r="B14">
        <v>144</v>
      </c>
    </row>
    <row r="15" spans="1:3" x14ac:dyDescent="0.2">
      <c r="A15">
        <v>14</v>
      </c>
      <c r="B15">
        <v>156</v>
      </c>
    </row>
    <row r="16" spans="1:3" x14ac:dyDescent="0.2">
      <c r="A16">
        <v>15</v>
      </c>
      <c r="B16">
        <v>168</v>
      </c>
    </row>
    <row r="17" spans="1:3" x14ac:dyDescent="0.2">
      <c r="A17">
        <v>16</v>
      </c>
      <c r="B17">
        <v>130</v>
      </c>
    </row>
    <row r="18" spans="1:3" x14ac:dyDescent="0.2">
      <c r="A18">
        <v>17</v>
      </c>
      <c r="B18">
        <v>142</v>
      </c>
    </row>
    <row r="19" spans="1:3" x14ac:dyDescent="0.2">
      <c r="A19">
        <v>18</v>
      </c>
      <c r="B19">
        <v>154</v>
      </c>
    </row>
    <row r="20" spans="1:3" x14ac:dyDescent="0.2">
      <c r="A20">
        <v>19</v>
      </c>
      <c r="B20">
        <v>166</v>
      </c>
    </row>
    <row r="21" spans="1:3" x14ac:dyDescent="0.2">
      <c r="A21">
        <v>20</v>
      </c>
      <c r="B21">
        <v>178</v>
      </c>
    </row>
    <row r="22" spans="1:3" x14ac:dyDescent="0.2">
      <c r="A22">
        <v>21</v>
      </c>
      <c r="B22">
        <v>140</v>
      </c>
    </row>
    <row r="23" spans="1:3" x14ac:dyDescent="0.2">
      <c r="A23">
        <v>22</v>
      </c>
      <c r="B23">
        <v>152</v>
      </c>
    </row>
    <row r="24" spans="1:3" x14ac:dyDescent="0.2">
      <c r="A24">
        <v>23</v>
      </c>
      <c r="B24">
        <v>164</v>
      </c>
    </row>
    <row r="25" spans="1:3" x14ac:dyDescent="0.2">
      <c r="A25">
        <v>24</v>
      </c>
      <c r="B25">
        <v>176</v>
      </c>
    </row>
    <row r="26" spans="1:3" x14ac:dyDescent="0.2">
      <c r="A26">
        <v>25</v>
      </c>
      <c r="B26">
        <v>188</v>
      </c>
    </row>
    <row r="27" spans="1:3" x14ac:dyDescent="0.2">
      <c r="A27">
        <v>26</v>
      </c>
      <c r="B27">
        <v>150</v>
      </c>
    </row>
    <row r="28" spans="1:3" x14ac:dyDescent="0.2">
      <c r="A28">
        <v>27</v>
      </c>
      <c r="B28">
        <v>162</v>
      </c>
    </row>
    <row r="29" spans="1:3" x14ac:dyDescent="0.2">
      <c r="A29">
        <v>28</v>
      </c>
      <c r="B29">
        <v>174</v>
      </c>
    </row>
    <row r="30" spans="1:3" x14ac:dyDescent="0.2">
      <c r="A30">
        <v>29</v>
      </c>
      <c r="B30">
        <v>186</v>
      </c>
    </row>
    <row r="31" spans="1:3" x14ac:dyDescent="0.2">
      <c r="A31">
        <v>30</v>
      </c>
      <c r="B31">
        <v>198</v>
      </c>
    </row>
    <row r="32" spans="1:3" x14ac:dyDescent="0.2">
      <c r="A32">
        <v>31</v>
      </c>
      <c r="C32" s="12">
        <f t="shared" ref="C32:C37" si="0">_xlfn.FORECAST.LINEAR(A32, B3:B31, A3:A31)</f>
        <v>182.90640394088669</v>
      </c>
    </row>
    <row r="33" spans="1:3" x14ac:dyDescent="0.2">
      <c r="A33">
        <v>32</v>
      </c>
      <c r="C33" s="12">
        <f t="shared" si="0"/>
        <v>184.30158730158732</v>
      </c>
    </row>
    <row r="34" spans="1:3" x14ac:dyDescent="0.2">
      <c r="A34">
        <v>33</v>
      </c>
      <c r="C34" s="12">
        <f t="shared" si="0"/>
        <v>186.38095238095238</v>
      </c>
    </row>
    <row r="35" spans="1:3" x14ac:dyDescent="0.2">
      <c r="A35">
        <v>34</v>
      </c>
      <c r="C35" s="12">
        <f t="shared" si="0"/>
        <v>189.58974358974359</v>
      </c>
    </row>
    <row r="36" spans="1:3" x14ac:dyDescent="0.2">
      <c r="A36">
        <v>35</v>
      </c>
      <c r="C36" s="12">
        <f t="shared" si="0"/>
        <v>194.53846153846155</v>
      </c>
    </row>
    <row r="37" spans="1:3" x14ac:dyDescent="0.2">
      <c r="A37">
        <v>36</v>
      </c>
      <c r="C37" s="12">
        <f t="shared" si="0"/>
        <v>194.63768115942031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N28"/>
  <sheetViews>
    <sheetView workbookViewId="0">
      <selection activeCell="C4" sqref="C4"/>
    </sheetView>
  </sheetViews>
  <sheetFormatPr baseColWidth="10" defaultColWidth="8.83203125" defaultRowHeight="15" x14ac:dyDescent="0.2"/>
  <cols>
    <col min="1" max="1" width="16" bestFit="1" customWidth="1"/>
    <col min="2" max="2" width="17.33203125" bestFit="1" customWidth="1"/>
    <col min="3" max="3" width="12" customWidth="1"/>
    <col min="4" max="4" width="10" bestFit="1" customWidth="1"/>
    <col min="5" max="5" width="23.5" customWidth="1"/>
    <col min="6" max="6" width="18.83203125" customWidth="1"/>
    <col min="10" max="10" width="17.1640625" customWidth="1"/>
    <col min="11" max="11" width="17.6640625" customWidth="1"/>
  </cols>
  <sheetData>
    <row r="1" spans="1:14" x14ac:dyDescent="0.2">
      <c r="A1" s="1" t="s">
        <v>45</v>
      </c>
      <c r="B1" s="1" t="s">
        <v>1</v>
      </c>
      <c r="C1" s="1" t="s">
        <v>46</v>
      </c>
      <c r="D1" s="1" t="s">
        <v>47</v>
      </c>
      <c r="E1" s="1" t="s">
        <v>48</v>
      </c>
      <c r="F1" s="1" t="s">
        <v>67</v>
      </c>
      <c r="J1" s="1" t="s">
        <v>65</v>
      </c>
      <c r="K1" s="1" t="s">
        <v>66</v>
      </c>
    </row>
    <row r="2" spans="1:14" x14ac:dyDescent="0.2">
      <c r="A2" s="5">
        <v>101</v>
      </c>
      <c r="B2" s="5" t="s">
        <v>10</v>
      </c>
      <c r="C2" s="5" t="s">
        <v>50</v>
      </c>
      <c r="D2" s="5" t="s">
        <v>50</v>
      </c>
      <c r="E2" s="5" t="s">
        <v>52</v>
      </c>
      <c r="F2" s="18">
        <v>45824.786643518521</v>
      </c>
      <c r="J2" s="5" t="s">
        <v>49</v>
      </c>
      <c r="K2" s="5" t="s">
        <v>53</v>
      </c>
    </row>
    <row r="3" spans="1:14" x14ac:dyDescent="0.2">
      <c r="A3" s="5">
        <v>102</v>
      </c>
      <c r="B3" s="5" t="s">
        <v>11</v>
      </c>
      <c r="C3" s="5" t="s">
        <v>50</v>
      </c>
      <c r="D3" s="5" t="s">
        <v>49</v>
      </c>
      <c r="E3" s="5" t="s">
        <v>53</v>
      </c>
      <c r="F3" s="17"/>
      <c r="J3" s="5" t="s">
        <v>50</v>
      </c>
      <c r="K3" s="5" t="s">
        <v>54</v>
      </c>
    </row>
    <row r="4" spans="1:14" x14ac:dyDescent="0.2">
      <c r="A4" s="5">
        <v>103</v>
      </c>
      <c r="B4" s="5" t="s">
        <v>12</v>
      </c>
      <c r="C4" s="5" t="s">
        <v>51</v>
      </c>
      <c r="D4" s="5" t="s">
        <v>51</v>
      </c>
      <c r="E4" s="5" t="s">
        <v>54</v>
      </c>
      <c r="F4" s="18">
        <v>45824.792546296296</v>
      </c>
      <c r="J4" s="5" t="s">
        <v>51</v>
      </c>
      <c r="K4" s="5" t="s">
        <v>55</v>
      </c>
    </row>
    <row r="5" spans="1:14" x14ac:dyDescent="0.2">
      <c r="A5" s="5">
        <v>104</v>
      </c>
      <c r="B5" s="5" t="s">
        <v>13</v>
      </c>
      <c r="C5" s="5" t="s">
        <v>51</v>
      </c>
      <c r="D5" s="5" t="s">
        <v>50</v>
      </c>
      <c r="E5" s="5" t="s">
        <v>55</v>
      </c>
      <c r="F5" s="17"/>
      <c r="J5" s="5" t="s">
        <v>64</v>
      </c>
      <c r="K5" s="5" t="s">
        <v>56</v>
      </c>
    </row>
    <row r="6" spans="1:14" x14ac:dyDescent="0.2">
      <c r="A6" s="5">
        <v>105</v>
      </c>
      <c r="B6" s="5" t="s">
        <v>14</v>
      </c>
      <c r="C6" s="5" t="s">
        <v>50</v>
      </c>
      <c r="D6" s="5" t="s">
        <v>49</v>
      </c>
      <c r="E6" s="5" t="s">
        <v>56</v>
      </c>
      <c r="F6" s="17"/>
      <c r="K6" s="5" t="s">
        <v>52</v>
      </c>
    </row>
    <row r="11" spans="1:14" x14ac:dyDescent="0.2">
      <c r="A11" s="6" t="s">
        <v>57</v>
      </c>
      <c r="B11" t="s">
        <v>68</v>
      </c>
      <c r="F11" s="19"/>
    </row>
    <row r="12" spans="1:14" x14ac:dyDescent="0.2">
      <c r="A12" s="7" t="s">
        <v>55</v>
      </c>
      <c r="B12" s="8">
        <v>1</v>
      </c>
      <c r="F12" s="19"/>
    </row>
    <row r="13" spans="1:14" x14ac:dyDescent="0.2">
      <c r="A13" s="16" t="s">
        <v>13</v>
      </c>
      <c r="B13" s="8">
        <v>1</v>
      </c>
      <c r="F13" s="19"/>
    </row>
    <row r="14" spans="1:14" x14ac:dyDescent="0.2">
      <c r="A14" s="7" t="s">
        <v>52</v>
      </c>
      <c r="B14" s="8">
        <v>1</v>
      </c>
      <c r="F14" s="19"/>
    </row>
    <row r="15" spans="1:14" x14ac:dyDescent="0.2">
      <c r="A15" s="16" t="s">
        <v>10</v>
      </c>
      <c r="B15" s="8">
        <v>1</v>
      </c>
      <c r="F15" s="19"/>
      <c r="J15" s="5"/>
      <c r="K15" s="5"/>
      <c r="L15" s="5"/>
      <c r="M15" s="5"/>
      <c r="N15" s="5"/>
    </row>
    <row r="16" spans="1:14" x14ac:dyDescent="0.2">
      <c r="A16" s="7" t="s">
        <v>56</v>
      </c>
      <c r="B16" s="8">
        <v>1</v>
      </c>
      <c r="F16" s="19"/>
      <c r="J16" s="5"/>
      <c r="K16" s="5"/>
      <c r="L16" s="5"/>
      <c r="M16" s="5"/>
      <c r="N16" s="5"/>
    </row>
    <row r="17" spans="1:14" x14ac:dyDescent="0.2">
      <c r="A17" s="16" t="s">
        <v>14</v>
      </c>
      <c r="B17" s="8">
        <v>1</v>
      </c>
      <c r="F17" s="19"/>
      <c r="J17" s="5"/>
      <c r="K17" s="5"/>
      <c r="L17" s="5"/>
      <c r="M17" s="5"/>
      <c r="N17" s="5"/>
    </row>
    <row r="18" spans="1:14" x14ac:dyDescent="0.2">
      <c r="A18" s="7" t="s">
        <v>54</v>
      </c>
      <c r="B18" s="8">
        <v>1</v>
      </c>
      <c r="F18" s="19"/>
      <c r="J18" s="5"/>
      <c r="K18" s="5"/>
      <c r="L18" s="5"/>
      <c r="M18" s="5"/>
      <c r="N18" s="5"/>
    </row>
    <row r="19" spans="1:14" x14ac:dyDescent="0.2">
      <c r="A19" s="16" t="s">
        <v>12</v>
      </c>
      <c r="B19" s="8">
        <v>1</v>
      </c>
      <c r="F19" s="19"/>
      <c r="J19" s="5"/>
      <c r="K19" s="5"/>
      <c r="L19" s="5"/>
      <c r="M19" s="5"/>
      <c r="N19" s="5"/>
    </row>
    <row r="20" spans="1:14" x14ac:dyDescent="0.2">
      <c r="A20" s="7" t="s">
        <v>53</v>
      </c>
      <c r="B20" s="8">
        <v>1</v>
      </c>
      <c r="F20" s="19"/>
    </row>
    <row r="21" spans="1:14" x14ac:dyDescent="0.2">
      <c r="A21" s="16" t="s">
        <v>11</v>
      </c>
      <c r="B21" s="8">
        <v>1</v>
      </c>
      <c r="F21" s="19"/>
    </row>
    <row r="22" spans="1:14" x14ac:dyDescent="0.2">
      <c r="A22" s="7" t="s">
        <v>59</v>
      </c>
      <c r="B22" s="8">
        <v>5</v>
      </c>
      <c r="F22" s="19"/>
    </row>
    <row r="23" spans="1:14" x14ac:dyDescent="0.2">
      <c r="F23" s="19"/>
    </row>
    <row r="24" spans="1:14" x14ac:dyDescent="0.2">
      <c r="F24" s="19"/>
    </row>
    <row r="25" spans="1:14" x14ac:dyDescent="0.2">
      <c r="F25" s="19"/>
    </row>
    <row r="26" spans="1:14" x14ac:dyDescent="0.2">
      <c r="F26" s="19"/>
    </row>
    <row r="27" spans="1:14" x14ac:dyDescent="0.2">
      <c r="F27" s="19"/>
    </row>
    <row r="28" spans="1:14" x14ac:dyDescent="0.2">
      <c r="F28" s="19"/>
    </row>
  </sheetData>
  <phoneticPr fontId="2" type="noConversion"/>
  <dataValidations count="2">
    <dataValidation type="list" allowBlank="1" showInputMessage="1" showErrorMessage="1" sqref="E2:E6 N15:N19" xr:uid="{FACD7439-7261-8A45-A804-8A86BF8FFF66}">
      <formula1>$K$2:$K$6</formula1>
    </dataValidation>
    <dataValidation type="list" allowBlank="1" showInputMessage="1" showErrorMessage="1" sqref="C2:C6 L15:L19" xr:uid="{2C9B1DEF-E844-1441-A542-5849E0C70B04}">
      <formula1>$J:$J</formula1>
    </dataValidation>
  </dataValidation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Call Center Dashboard</vt:lpstr>
      <vt:lpstr>Adherence By Agent</vt:lpstr>
      <vt:lpstr>Outage Tracker</vt:lpstr>
      <vt:lpstr>Time Outage By Agent</vt:lpstr>
      <vt:lpstr>Forecasting</vt:lpstr>
      <vt:lpstr>Room Assignment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Charlene Gaskins Jones</cp:lastModifiedBy>
  <dcterms:created xsi:type="dcterms:W3CDTF">2025-06-16T20:14:15Z</dcterms:created>
  <dcterms:modified xsi:type="dcterms:W3CDTF">2025-06-16T23:01:47Z</dcterms:modified>
</cp:coreProperties>
</file>